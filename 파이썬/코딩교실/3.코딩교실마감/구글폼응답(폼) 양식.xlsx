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JG\Downloads\"/>
    </mc:Choice>
  </mc:AlternateContent>
  <xr:revisionPtr revIDLastSave="0" documentId="13_ncr:1_{C13A8132-C288-45F0-8A7F-0EE543DC5C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동작" sheetId="1" r:id="rId1"/>
    <sheet name="설명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" l="1"/>
  <c r="L13" i="1" s="1"/>
  <c r="K8" i="1"/>
  <c r="K13" i="1" s="1"/>
  <c r="J8" i="1"/>
  <c r="J13" i="1" s="1"/>
  <c r="I8" i="1"/>
  <c r="I13" i="1" s="1"/>
  <c r="H8" i="1"/>
  <c r="H13" i="1" s="1"/>
  <c r="G8" i="1"/>
  <c r="G13" i="1" s="1"/>
  <c r="N22" i="2"/>
  <c r="A19" i="2"/>
  <c r="F14" i="2"/>
  <c r="F19" i="2" s="1"/>
  <c r="E14" i="2"/>
  <c r="E19" i="2" s="1"/>
  <c r="D14" i="2"/>
  <c r="D19" i="2" s="1"/>
  <c r="A13" i="2"/>
  <c r="A13" i="1"/>
  <c r="F8" i="1" s="1"/>
  <c r="F13" i="1" s="1"/>
  <c r="E8" i="1"/>
  <c r="E13" i="1" s="1"/>
  <c r="D8" i="1"/>
  <c r="D13" i="1" s="1"/>
  <c r="F8" i="2"/>
  <c r="F13" i="2" s="1"/>
  <c r="E8" i="2"/>
  <c r="E13" i="2" s="1"/>
  <c r="D8" i="2"/>
  <c r="D13" i="2" s="1"/>
  <c r="C8" i="2"/>
  <c r="C13" i="2" s="1"/>
  <c r="B8" i="2"/>
  <c r="B13" i="2" s="1"/>
  <c r="F7" i="2"/>
  <c r="E7" i="2"/>
  <c r="D7" i="2"/>
  <c r="F2" i="2"/>
  <c r="E2" i="2"/>
  <c r="D2" i="2"/>
  <c r="C2" i="2"/>
  <c r="C7" i="2" s="1"/>
  <c r="B2" i="2"/>
  <c r="B7" i="2" s="1"/>
  <c r="N7" i="2" s="1"/>
  <c r="F2" i="1"/>
  <c r="F7" i="1" s="1"/>
  <c r="E2" i="1"/>
  <c r="E7" i="1" s="1"/>
  <c r="D2" i="1"/>
  <c r="D7" i="1" s="1"/>
  <c r="C2" i="1"/>
  <c r="C7" i="1" s="1"/>
  <c r="B2" i="1"/>
  <c r="B7" i="1" s="1"/>
  <c r="N13" i="1" l="1"/>
  <c r="B14" i="2"/>
  <c r="B19" i="2" s="1"/>
  <c r="C14" i="2"/>
  <c r="C19" i="2" s="1"/>
  <c r="B8" i="1"/>
  <c r="B13" i="1" s="1"/>
  <c r="C8" i="1"/>
  <c r="C13" i="1" s="1"/>
  <c r="N13" i="2"/>
  <c r="N7" i="1"/>
  <c r="N21" i="1" s="1"/>
  <c r="N19" i="2" l="1"/>
</calcChain>
</file>

<file path=xl/sharedStrings.xml><?xml version="1.0" encoding="utf-8"?>
<sst xmlns="http://schemas.openxmlformats.org/spreadsheetml/2006/main" count="64" uniqueCount="47">
  <si>
    <t>구분</t>
  </si>
  <si>
    <t>1번</t>
  </si>
  <si>
    <t>2번</t>
  </si>
  <si>
    <t>3번</t>
  </si>
  <si>
    <t>4번</t>
  </si>
  <si>
    <t>5번</t>
  </si>
  <si>
    <t>링크</t>
  </si>
  <si>
    <t>6번</t>
  </si>
  <si>
    <t>7번</t>
  </si>
  <si>
    <t>8번</t>
  </si>
  <si>
    <t>9번</t>
  </si>
  <si>
    <t>10번</t>
  </si>
  <si>
    <t>11번</t>
  </si>
  <si>
    <t>12번</t>
  </si>
  <si>
    <t>자세한 사용법은 설명 시트 확인</t>
    <phoneticPr fontId="2" type="noConversion"/>
  </si>
  <si>
    <t>https://forms.gle/H2FYUWMqpoLy9XFc8</t>
    <phoneticPr fontId="2" type="noConversion"/>
  </si>
  <si>
    <t>&lt;&lt; 구글폼링크 넣는 곳</t>
    <phoneticPr fontId="2" type="noConversion"/>
  </si>
  <si>
    <t>구글폼 양식</t>
    <phoneticPr fontId="2" type="noConversion"/>
  </si>
  <si>
    <t>1. 처음 설명 페이지가 있어야 하고,</t>
    <phoneticPr fontId="2" type="noConversion"/>
  </si>
  <si>
    <t>점수를 입력하는 곳입니다. 2행이 5점의 개수 3행이 4점… 6행이 1점의 개수입니다. 2행에는 수식이 걸려있어서 3~6행만 수정하면 됩니다.</t>
    <phoneticPr fontId="2" type="noConversion"/>
  </si>
  <si>
    <t>번호당 평균</t>
    <phoneticPr fontId="2" type="noConversion"/>
  </si>
  <si>
    <t>참여 유형별 평균</t>
    <phoneticPr fontId="2" type="noConversion"/>
  </si>
  <si>
    <t>전체 평균 (실제 인원별 점수)</t>
    <phoneticPr fontId="2" type="noConversion"/>
  </si>
  <si>
    <t>사용 방법</t>
    <phoneticPr fontId="2" type="noConversion"/>
  </si>
  <si>
    <t>항목별 설명</t>
    <phoneticPr fontId="2" type="noConversion"/>
  </si>
  <si>
    <t>이 파일을 실행시 선생님을 1번에 5점 4개, 4점에 1개 / 2번에 5점 3개, 4점 1개, 3점 1개 / … 이런식으로 동작함</t>
    <phoneticPr fontId="2" type="noConversion"/>
  </si>
  <si>
    <t>5점</t>
    <phoneticPr fontId="2" type="noConversion"/>
  </si>
  <si>
    <t>4점</t>
    <phoneticPr fontId="2" type="noConversion"/>
  </si>
  <si>
    <t>3점</t>
    <phoneticPr fontId="2" type="noConversion"/>
  </si>
  <si>
    <t>2점</t>
    <phoneticPr fontId="2" type="noConversion"/>
  </si>
  <si>
    <t>1점</t>
    <phoneticPr fontId="2" type="noConversion"/>
  </si>
  <si>
    <t>1번</t>
    <phoneticPr fontId="2" type="noConversion"/>
  </si>
  <si>
    <t>2번</t>
    <phoneticPr fontId="2" type="noConversion"/>
  </si>
  <si>
    <t>먼저 나오는 폼이 위, 나중에 나오는 것을 아래에 두면 됩니다.</t>
    <phoneticPr fontId="2" type="noConversion"/>
  </si>
  <si>
    <t>A7에만 명수를 입력하면 됩니다. A13은 자동으로 A7과 동일하게 수정됩니다.</t>
    <phoneticPr fontId="2" type="noConversion"/>
  </si>
  <si>
    <t>2. 조사 항목 개수에 맞춰 B행을 쭈욱 늘려 문향의 개수를 맞춘다. (기본은 5문항인데 필요시 필요한만큼 늘리면 됨. 반대로 안 쓰면 지워야 함)</t>
    <phoneticPr fontId="2" type="noConversion"/>
  </si>
  <si>
    <t>3. 3~6행에 원하는 평균이 되도록 수정</t>
    <phoneticPr fontId="2" type="noConversion"/>
  </si>
  <si>
    <t>2. 첫번째 폼이 나옵니다. 여긴 5개므로 F까지 만들어야 합니다.</t>
    <phoneticPr fontId="2" type="noConversion"/>
  </si>
  <si>
    <t>3. 두번째 폼으로 나옵니다. 여긴 11개므로 L까지 만들어야 합니다. 주관식은 필수를 해제해야합니다.</t>
    <phoneticPr fontId="2" type="noConversion"/>
  </si>
  <si>
    <t>4. 폼에서 주관식은 필수항목 해제</t>
    <phoneticPr fontId="2" type="noConversion"/>
  </si>
  <si>
    <t>3번</t>
    <phoneticPr fontId="2" type="noConversion"/>
  </si>
  <si>
    <t>6. 파일을 저장하고 업로드</t>
    <phoneticPr fontId="2" type="noConversion"/>
  </si>
  <si>
    <t>5. 폼 개수에 맞게 복사 (최대 3개)</t>
    <phoneticPr fontId="2" type="noConversion"/>
  </si>
  <si>
    <t>딜레이</t>
    <phoneticPr fontId="2" type="noConversion"/>
  </si>
  <si>
    <t>&lt;&lt; 딜레이 시간의 +- 30% 간격으로 진행</t>
    <phoneticPr fontId="2" type="noConversion"/>
  </si>
  <si>
    <t>1. A7에 명수를 입력 , AB1에 구글폼링크, AB2에 딜레이 간격 입력</t>
    <phoneticPr fontId="2" type="noConversion"/>
  </si>
  <si>
    <t>https://forms.gle/V4zWRExiDfhPafa97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</si>
</sst>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2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2" fontId="3" fillId="6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left"/>
    </xf>
    <xf numFmtId="0" fontId="0" fillId="9" borderId="0" xfId="0" applyFill="1"/>
    <xf numFmtId="0" fontId="5" fillId="0" borderId="0" xfId="0" applyFont="1"/>
    <xf numFmtId="2" fontId="3" fillId="7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28</xdr:row>
      <xdr:rowOff>9525</xdr:rowOff>
    </xdr:from>
    <xdr:to>
      <xdr:col>7</xdr:col>
      <xdr:colOff>475593</xdr:colOff>
      <xdr:row>58</xdr:row>
      <xdr:rowOff>65882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CA39BA3-E793-436B-A22B-46C8B53DA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6257925"/>
          <a:ext cx="5257143" cy="6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28</xdr:row>
      <xdr:rowOff>38100</xdr:rowOff>
    </xdr:from>
    <xdr:to>
      <xdr:col>26</xdr:col>
      <xdr:colOff>494636</xdr:colOff>
      <xdr:row>58</xdr:row>
      <xdr:rowOff>189695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FBDBAF9-1A43-41D4-9A32-1A3D7F107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34025" y="6286500"/>
          <a:ext cx="5314286" cy="6438095"/>
        </a:xfrm>
        <a:prstGeom prst="rect">
          <a:avLst/>
        </a:prstGeom>
      </xdr:spPr>
    </xdr:pic>
    <xdr:clientData/>
  </xdr:twoCellAnchor>
  <xdr:twoCellAnchor editAs="oneCell">
    <xdr:from>
      <xdr:col>27</xdr:col>
      <xdr:colOff>66675</xdr:colOff>
      <xdr:row>28</xdr:row>
      <xdr:rowOff>38100</xdr:rowOff>
    </xdr:from>
    <xdr:to>
      <xdr:col>34</xdr:col>
      <xdr:colOff>542265</xdr:colOff>
      <xdr:row>57</xdr:row>
      <xdr:rowOff>104007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DDC876D-8990-4472-BB6A-90E8C8F4F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06150" y="6286500"/>
          <a:ext cx="5276190" cy="61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"/>
  <sheetViews>
    <sheetView tabSelected="1" workbookViewId="0">
      <selection activeCell="AC8" sqref="AC8"/>
    </sheetView>
  </sheetViews>
  <sheetFormatPr defaultRowHeight="17.399999999999999" x14ac:dyDescent="0.4"/>
  <cols>
    <col min="14" max="14" width="9.8984375" bestFit="1" customWidth="1"/>
    <col min="15" max="26" width="0" hidden="1" customWidth="1"/>
  </cols>
  <sheetData>
    <row r="1" spans="1:33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2"/>
      <c r="AA1" t="s">
        <v>6</v>
      </c>
      <c r="AB1" t="s">
        <v>46</v>
      </c>
    </row>
    <row r="2" spans="1:33" x14ac:dyDescent="0.4">
      <c r="A2" s="24" t="s">
        <v>31</v>
      </c>
      <c r="B2" s="1">
        <f>$A7-SUM(B3:B6)</f>
        <v>1</v>
      </c>
      <c r="C2" s="1">
        <f t="shared" ref="C2:F2" si="0">$A7-SUM(C3:C6)</f>
        <v>1</v>
      </c>
      <c r="D2" s="1">
        <f t="shared" si="0"/>
        <v>1</v>
      </c>
      <c r="E2" s="1">
        <f t="shared" si="0"/>
        <v>1</v>
      </c>
      <c r="F2" s="1">
        <f t="shared" si="0"/>
        <v>1</v>
      </c>
      <c r="G2" s="1"/>
      <c r="H2" s="1"/>
      <c r="I2" s="1"/>
      <c r="J2" s="1"/>
      <c r="K2" s="1"/>
      <c r="L2" s="1"/>
      <c r="M2" s="1"/>
      <c r="AA2" t="s">
        <v>43</v>
      </c>
      <c r="AB2">
        <v>0</v>
      </c>
    </row>
    <row r="3" spans="1:33" x14ac:dyDescent="0.4">
      <c r="A3" s="24"/>
      <c r="B3" s="1">
        <v>0</v>
      </c>
      <c r="C3" s="1">
        <v>0</v>
      </c>
      <c r="D3" s="1">
        <v>0</v>
      </c>
      <c r="E3" s="1">
        <v>0</v>
      </c>
      <c r="F3" s="1">
        <v>0</v>
      </c>
      <c r="G3" s="3"/>
      <c r="H3" s="3"/>
      <c r="I3" s="3"/>
      <c r="J3" s="3"/>
      <c r="K3" s="3"/>
      <c r="L3" s="3"/>
      <c r="M3" s="3"/>
      <c r="AA3" s="25" t="s">
        <v>14</v>
      </c>
      <c r="AB3" s="25"/>
      <c r="AC3" s="25"/>
      <c r="AD3" s="25"/>
      <c r="AE3" s="25"/>
      <c r="AF3" s="25"/>
      <c r="AG3" s="25"/>
    </row>
    <row r="4" spans="1:33" x14ac:dyDescent="0.4">
      <c r="A4" s="24"/>
      <c r="B4" s="1">
        <v>0</v>
      </c>
      <c r="C4" s="1">
        <v>0</v>
      </c>
      <c r="D4" s="1">
        <v>0</v>
      </c>
      <c r="E4" s="1">
        <v>0</v>
      </c>
      <c r="F4" s="1">
        <v>0</v>
      </c>
      <c r="G4" s="3"/>
      <c r="H4" s="3"/>
      <c r="I4" s="3"/>
      <c r="J4" s="3"/>
      <c r="K4" s="3"/>
      <c r="L4" s="3"/>
      <c r="M4" s="3"/>
      <c r="AA4" s="25"/>
      <c r="AB4" s="25"/>
      <c r="AC4" s="25"/>
      <c r="AD4" s="25"/>
      <c r="AE4" s="25"/>
      <c r="AF4" s="25"/>
      <c r="AG4" s="25"/>
    </row>
    <row r="5" spans="1:33" x14ac:dyDescent="0.4">
      <c r="A5" s="24"/>
      <c r="B5" s="1">
        <v>0</v>
      </c>
      <c r="C5" s="1">
        <v>0</v>
      </c>
      <c r="D5" s="1">
        <v>0</v>
      </c>
      <c r="E5" s="1">
        <v>0</v>
      </c>
      <c r="F5" s="1">
        <v>0</v>
      </c>
      <c r="G5" s="3"/>
      <c r="H5" s="3"/>
      <c r="I5" s="3"/>
      <c r="J5" s="3"/>
      <c r="K5" s="3"/>
      <c r="L5" s="3"/>
      <c r="M5" s="3"/>
      <c r="AA5" s="25"/>
      <c r="AB5" s="25"/>
      <c r="AC5" s="25"/>
      <c r="AD5" s="25"/>
      <c r="AE5" s="25"/>
      <c r="AF5" s="25"/>
      <c r="AG5" s="25"/>
    </row>
    <row r="6" spans="1:33" x14ac:dyDescent="0.4">
      <c r="A6" s="24"/>
      <c r="B6" s="1">
        <v>0</v>
      </c>
      <c r="C6" s="1">
        <v>0</v>
      </c>
      <c r="D6" s="1">
        <v>0</v>
      </c>
      <c r="E6" s="1">
        <v>0</v>
      </c>
      <c r="F6" s="1">
        <v>0</v>
      </c>
      <c r="G6" s="3"/>
      <c r="H6" s="3"/>
      <c r="I6" s="3"/>
      <c r="J6" s="3"/>
      <c r="K6" s="3"/>
      <c r="L6" s="3"/>
      <c r="M6" s="3"/>
    </row>
    <row r="7" spans="1:33" x14ac:dyDescent="0.4">
      <c r="A7" s="5">
        <v>1</v>
      </c>
      <c r="B7" s="5">
        <f>SUM(B2*5,B3*4,B4*3,B5*2,B6*1)/$A7</f>
        <v>5</v>
      </c>
      <c r="C7" s="5">
        <f t="shared" ref="C7:F7" si="1">SUM(C2*5,C3*4,C4*3,C5*2,C6*1)/$A7</f>
        <v>5</v>
      </c>
      <c r="D7" s="5">
        <f t="shared" si="1"/>
        <v>5</v>
      </c>
      <c r="E7" s="5">
        <f t="shared" si="1"/>
        <v>5</v>
      </c>
      <c r="F7" s="5">
        <f t="shared" si="1"/>
        <v>5</v>
      </c>
      <c r="G7" s="5"/>
      <c r="H7" s="5"/>
      <c r="I7" s="5"/>
      <c r="J7" s="5"/>
      <c r="K7" s="5"/>
      <c r="L7" s="5"/>
      <c r="M7" s="5"/>
      <c r="N7" s="6">
        <f>AVERAGE(B7:M7)</f>
        <v>5</v>
      </c>
    </row>
    <row r="8" spans="1:33" x14ac:dyDescent="0.4">
      <c r="A8" s="24" t="s">
        <v>32</v>
      </c>
      <c r="B8" s="1">
        <f>$A13-SUM(B9:B12)</f>
        <v>1</v>
      </c>
      <c r="C8" s="1">
        <f t="shared" ref="C8:F8" si="2">$A13-SUM(C9:C12)</f>
        <v>1</v>
      </c>
      <c r="D8" s="1">
        <f t="shared" si="2"/>
        <v>1</v>
      </c>
      <c r="E8" s="1">
        <f t="shared" si="2"/>
        <v>1</v>
      </c>
      <c r="F8" s="1">
        <f t="shared" si="2"/>
        <v>1</v>
      </c>
      <c r="G8" s="1">
        <f t="shared" ref="G8:L8" si="3">$A13-SUM(G9:G12)</f>
        <v>1</v>
      </c>
      <c r="H8" s="1">
        <f t="shared" si="3"/>
        <v>1</v>
      </c>
      <c r="I8" s="1">
        <f t="shared" si="3"/>
        <v>1</v>
      </c>
      <c r="J8" s="1">
        <f t="shared" si="3"/>
        <v>1</v>
      </c>
      <c r="K8" s="1">
        <f t="shared" si="3"/>
        <v>1</v>
      </c>
      <c r="L8" s="1">
        <f t="shared" si="3"/>
        <v>1</v>
      </c>
      <c r="M8" s="1"/>
    </row>
    <row r="9" spans="1:33" x14ac:dyDescent="0.4">
      <c r="A9" s="24"/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3"/>
    </row>
    <row r="10" spans="1:33" x14ac:dyDescent="0.4">
      <c r="A10" s="24"/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3"/>
    </row>
    <row r="11" spans="1:33" x14ac:dyDescent="0.4">
      <c r="A11" s="24"/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3"/>
    </row>
    <row r="12" spans="1:33" x14ac:dyDescent="0.4">
      <c r="A12" s="24"/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3"/>
    </row>
    <row r="13" spans="1:33" x14ac:dyDescent="0.4">
      <c r="A13" s="5">
        <f>A7</f>
        <v>1</v>
      </c>
      <c r="B13" s="5">
        <f>SUM(B8*5,B9*4,B10*3,B11*2,B12*1)/$A13</f>
        <v>5</v>
      </c>
      <c r="C13" s="5">
        <f t="shared" ref="C13:F13" si="4">SUM(C8*5,C9*4,C10*3,C11*2,C12*1)/$A13</f>
        <v>5</v>
      </c>
      <c r="D13" s="5">
        <f t="shared" si="4"/>
        <v>5</v>
      </c>
      <c r="E13" s="5">
        <f t="shared" si="4"/>
        <v>5</v>
      </c>
      <c r="F13" s="5">
        <f t="shared" si="4"/>
        <v>5</v>
      </c>
      <c r="G13" s="5">
        <f t="shared" ref="G13:L13" si="5">SUM(G8*5,G9*4,G10*3,G11*2,G12*1)/$A13</f>
        <v>5</v>
      </c>
      <c r="H13" s="5">
        <f t="shared" si="5"/>
        <v>5</v>
      </c>
      <c r="I13" s="5">
        <f t="shared" si="5"/>
        <v>5</v>
      </c>
      <c r="J13" s="5">
        <f t="shared" si="5"/>
        <v>5</v>
      </c>
      <c r="K13" s="5">
        <f t="shared" si="5"/>
        <v>5</v>
      </c>
      <c r="L13" s="5">
        <f t="shared" si="5"/>
        <v>5</v>
      </c>
      <c r="M13" s="5"/>
      <c r="N13" s="6">
        <f>AVERAGE(B13:M13)</f>
        <v>5</v>
      </c>
    </row>
    <row r="14" spans="1:33" x14ac:dyDescent="0.4">
      <c r="A14" s="2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33" x14ac:dyDescent="0.4">
      <c r="A15" s="24"/>
      <c r="B15" s="1"/>
      <c r="C15" s="1"/>
      <c r="D15" s="1"/>
      <c r="E15" s="1"/>
      <c r="F15" s="1"/>
      <c r="G15" s="3"/>
      <c r="H15" s="3"/>
      <c r="I15" s="3"/>
      <c r="J15" s="3"/>
      <c r="K15" s="3"/>
      <c r="L15" s="3"/>
      <c r="M15" s="3"/>
    </row>
    <row r="16" spans="1:33" x14ac:dyDescent="0.4">
      <c r="A16" s="24"/>
      <c r="B16" s="1"/>
      <c r="C16" s="1"/>
      <c r="D16" s="1"/>
      <c r="E16" s="1"/>
      <c r="F16" s="1"/>
      <c r="G16" s="3"/>
      <c r="H16" s="3"/>
      <c r="I16" s="3"/>
      <c r="J16" s="3"/>
      <c r="K16" s="3"/>
      <c r="L16" s="3"/>
      <c r="M16" s="3"/>
    </row>
    <row r="17" spans="1:14" x14ac:dyDescent="0.4">
      <c r="A17" s="24"/>
      <c r="B17" s="1"/>
      <c r="C17" s="1"/>
      <c r="D17" s="1"/>
      <c r="E17" s="1"/>
      <c r="F17" s="1"/>
      <c r="G17" s="3"/>
      <c r="H17" s="3"/>
      <c r="I17" s="3"/>
      <c r="J17" s="3"/>
      <c r="K17" s="3"/>
      <c r="L17" s="3"/>
      <c r="M17" s="3"/>
    </row>
    <row r="18" spans="1:14" x14ac:dyDescent="0.4">
      <c r="A18" s="24"/>
      <c r="B18" s="1"/>
      <c r="C18" s="1"/>
      <c r="D18" s="1"/>
      <c r="E18" s="1"/>
      <c r="F18" s="1"/>
      <c r="G18" s="3"/>
      <c r="H18" s="3"/>
      <c r="I18" s="3"/>
      <c r="J18" s="3"/>
      <c r="K18" s="3"/>
      <c r="L18" s="3"/>
      <c r="M18" s="3"/>
    </row>
    <row r="19" spans="1:14" x14ac:dyDescent="0.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/>
    </row>
    <row r="21" spans="1:14" x14ac:dyDescent="0.4">
      <c r="N21" s="7">
        <f>SUM(N7*A7,N13*A13,N19*A19)/SUM(A7+A13+A19)</f>
        <v>5</v>
      </c>
    </row>
  </sheetData>
  <mergeCells count="4">
    <mergeCell ref="A2:A6"/>
    <mergeCell ref="A8:A12"/>
    <mergeCell ref="A14:A18"/>
    <mergeCell ref="AA3:AG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377C-C4B7-4A2C-89DF-17E6CEBA8299}">
  <dimension ref="A1:AQ28"/>
  <sheetViews>
    <sheetView topLeftCell="H1" workbookViewId="0">
      <selection activeCell="AA2" sqref="AA2:AC2"/>
    </sheetView>
  </sheetViews>
  <sheetFormatPr defaultRowHeight="17.399999999999999" x14ac:dyDescent="0.4"/>
  <cols>
    <col min="14" max="14" width="9.8984375" bestFit="1" customWidth="1"/>
    <col min="15" max="25" width="0" hidden="1" customWidth="1"/>
    <col min="26" max="26" width="9" customWidth="1"/>
  </cols>
  <sheetData>
    <row r="1" spans="1:43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2"/>
      <c r="AA1" s="19" t="s">
        <v>6</v>
      </c>
      <c r="AB1" s="21" t="s">
        <v>15</v>
      </c>
      <c r="AC1" t="s">
        <v>16</v>
      </c>
    </row>
    <row r="2" spans="1:43" x14ac:dyDescent="0.4">
      <c r="A2" s="27" t="s">
        <v>31</v>
      </c>
      <c r="B2" s="9">
        <f>$A7-SUM(B3:B6)</f>
        <v>4</v>
      </c>
      <c r="C2" s="9">
        <f t="shared" ref="C2:F2" si="0">$A7-SUM(C3:C6)</f>
        <v>3</v>
      </c>
      <c r="D2" s="9">
        <f t="shared" si="0"/>
        <v>5</v>
      </c>
      <c r="E2" s="9">
        <f t="shared" si="0"/>
        <v>5</v>
      </c>
      <c r="F2" s="9">
        <f t="shared" si="0"/>
        <v>5</v>
      </c>
      <c r="G2" s="1"/>
      <c r="H2" s="1"/>
      <c r="I2" s="1"/>
      <c r="J2" s="1"/>
      <c r="K2" s="1"/>
      <c r="L2" s="1"/>
      <c r="M2" s="1"/>
      <c r="N2" s="19" t="s">
        <v>26</v>
      </c>
      <c r="AA2" t="s">
        <v>43</v>
      </c>
      <c r="AB2" s="21">
        <v>10</v>
      </c>
      <c r="AC2" t="s">
        <v>44</v>
      </c>
    </row>
    <row r="3" spans="1:43" x14ac:dyDescent="0.4">
      <c r="A3" s="27"/>
      <c r="B3" s="9">
        <v>1</v>
      </c>
      <c r="C3" s="9">
        <v>1</v>
      </c>
      <c r="D3" s="9">
        <v>0</v>
      </c>
      <c r="E3" s="9">
        <v>0</v>
      </c>
      <c r="F3" s="9">
        <v>0</v>
      </c>
      <c r="G3" s="3"/>
      <c r="H3" s="3"/>
      <c r="I3" s="3"/>
      <c r="J3" s="3"/>
      <c r="K3" s="3"/>
      <c r="L3" s="3"/>
      <c r="M3" s="3"/>
      <c r="N3" s="19" t="s">
        <v>27</v>
      </c>
      <c r="AA3" t="s">
        <v>24</v>
      </c>
    </row>
    <row r="4" spans="1:43" x14ac:dyDescent="0.4">
      <c r="A4" s="27"/>
      <c r="B4" s="9">
        <v>0</v>
      </c>
      <c r="C4" s="9">
        <v>1</v>
      </c>
      <c r="D4" s="9">
        <v>0</v>
      </c>
      <c r="E4" s="9">
        <v>0</v>
      </c>
      <c r="F4" s="9">
        <v>0</v>
      </c>
      <c r="G4" s="3"/>
      <c r="H4" s="3"/>
      <c r="I4" s="3"/>
      <c r="J4" s="3"/>
      <c r="K4" s="3"/>
      <c r="L4" s="3"/>
      <c r="M4" s="3"/>
      <c r="N4" s="19" t="s">
        <v>28</v>
      </c>
      <c r="AA4" s="8"/>
      <c r="AB4" t="s">
        <v>33</v>
      </c>
    </row>
    <row r="5" spans="1:43" x14ac:dyDescent="0.4">
      <c r="A5" s="27"/>
      <c r="B5" s="9">
        <v>0</v>
      </c>
      <c r="C5" s="9">
        <v>0</v>
      </c>
      <c r="D5" s="9">
        <v>0</v>
      </c>
      <c r="E5" s="9">
        <v>0</v>
      </c>
      <c r="F5" s="9">
        <v>0</v>
      </c>
      <c r="G5" s="3"/>
      <c r="H5" s="3"/>
      <c r="I5" s="3"/>
      <c r="J5" s="3"/>
      <c r="K5" s="3"/>
      <c r="L5" s="3"/>
      <c r="M5" s="3"/>
      <c r="N5" s="19" t="s">
        <v>29</v>
      </c>
      <c r="AA5" s="10"/>
      <c r="AB5" t="s">
        <v>19</v>
      </c>
    </row>
    <row r="6" spans="1:43" x14ac:dyDescent="0.4">
      <c r="A6" s="27"/>
      <c r="B6" s="9">
        <v>0</v>
      </c>
      <c r="C6" s="9">
        <v>0</v>
      </c>
      <c r="D6" s="9">
        <v>0</v>
      </c>
      <c r="E6" s="9">
        <v>0</v>
      </c>
      <c r="F6" s="9">
        <v>0</v>
      </c>
      <c r="G6" s="3"/>
      <c r="H6" s="3"/>
      <c r="I6" s="3"/>
      <c r="J6" s="3"/>
      <c r="K6" s="3"/>
      <c r="L6" s="3"/>
      <c r="M6" s="3"/>
      <c r="N6" s="19" t="s">
        <v>30</v>
      </c>
      <c r="AA6" s="12"/>
      <c r="AB6" t="s">
        <v>34</v>
      </c>
    </row>
    <row r="7" spans="1:43" x14ac:dyDescent="0.4">
      <c r="A7" s="11">
        <v>5</v>
      </c>
      <c r="B7" s="16">
        <f>SUM(B2*5,B3*4,B4*3,B5*2,B6*1)/$A7</f>
        <v>4.8</v>
      </c>
      <c r="C7" s="16">
        <f t="shared" ref="C7:F7" si="1">SUM(C2*5,C3*4,C4*3,C5*2,C6*1)/$A7</f>
        <v>4.4000000000000004</v>
      </c>
      <c r="D7" s="16">
        <f t="shared" si="1"/>
        <v>5</v>
      </c>
      <c r="E7" s="16">
        <f t="shared" si="1"/>
        <v>5</v>
      </c>
      <c r="F7" s="16">
        <f t="shared" si="1"/>
        <v>5</v>
      </c>
      <c r="G7" s="17"/>
      <c r="H7" s="17"/>
      <c r="I7" s="17"/>
      <c r="J7" s="17"/>
      <c r="K7" s="17"/>
      <c r="L7" s="17"/>
      <c r="M7" s="17"/>
      <c r="N7" s="23">
        <f>AVERAGE(B7:M7)</f>
        <v>4.84</v>
      </c>
      <c r="AA7" s="13"/>
      <c r="AB7" t="s">
        <v>20</v>
      </c>
      <c r="AD7" s="14"/>
      <c r="AE7" t="s">
        <v>21</v>
      </c>
      <c r="AG7" s="15"/>
      <c r="AH7" t="s">
        <v>22</v>
      </c>
    </row>
    <row r="8" spans="1:43" x14ac:dyDescent="0.4">
      <c r="A8" s="27" t="s">
        <v>32</v>
      </c>
      <c r="B8" s="9">
        <f>$A13-SUM(B9:B12)</f>
        <v>4</v>
      </c>
      <c r="C8" s="9">
        <f t="shared" ref="C8:F8" si="2">$A13-SUM(C9:C12)</f>
        <v>3</v>
      </c>
      <c r="D8" s="9">
        <f t="shared" si="2"/>
        <v>5</v>
      </c>
      <c r="E8" s="9">
        <f t="shared" si="2"/>
        <v>5</v>
      </c>
      <c r="F8" s="9">
        <f t="shared" si="2"/>
        <v>5</v>
      </c>
      <c r="G8" s="1"/>
      <c r="H8" s="1"/>
      <c r="I8" s="1"/>
      <c r="J8" s="1"/>
      <c r="K8" s="1"/>
      <c r="L8" s="1"/>
      <c r="M8" s="1"/>
    </row>
    <row r="9" spans="1:43" ht="21" x14ac:dyDescent="0.45">
      <c r="A9" s="27"/>
      <c r="B9" s="9">
        <v>1</v>
      </c>
      <c r="C9" s="9">
        <v>1</v>
      </c>
      <c r="D9" s="9">
        <v>0</v>
      </c>
      <c r="E9" s="9">
        <v>0</v>
      </c>
      <c r="F9" s="9">
        <v>0</v>
      </c>
      <c r="G9" s="3"/>
      <c r="H9" s="3"/>
      <c r="I9" s="3"/>
      <c r="J9" s="3"/>
      <c r="K9" s="3"/>
      <c r="L9" s="3"/>
      <c r="M9" s="3"/>
      <c r="AA9" s="28" t="s">
        <v>23</v>
      </c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21" x14ac:dyDescent="0.45">
      <c r="A10" s="27"/>
      <c r="B10" s="9">
        <v>0</v>
      </c>
      <c r="C10" s="9">
        <v>1</v>
      </c>
      <c r="D10" s="9">
        <v>0</v>
      </c>
      <c r="E10" s="9">
        <v>0</v>
      </c>
      <c r="F10" s="9">
        <v>0</v>
      </c>
      <c r="G10" s="3"/>
      <c r="H10" s="3"/>
      <c r="I10" s="3"/>
      <c r="J10" s="3"/>
      <c r="K10" s="3"/>
      <c r="L10" s="3"/>
      <c r="M10" s="3"/>
      <c r="AA10" s="29" t="s">
        <v>45</v>
      </c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1"/>
    </row>
    <row r="11" spans="1:43" ht="21" x14ac:dyDescent="0.45">
      <c r="A11" s="27"/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3"/>
      <c r="H11" s="3"/>
      <c r="I11" s="3"/>
      <c r="J11" s="3"/>
      <c r="K11" s="3"/>
      <c r="L11" s="3"/>
      <c r="M11" s="3"/>
      <c r="AA11" s="20" t="s">
        <v>35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</row>
    <row r="12" spans="1:43" ht="21" x14ac:dyDescent="0.45">
      <c r="A12" s="27"/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3"/>
      <c r="H12" s="3"/>
      <c r="I12" s="3"/>
      <c r="J12" s="3"/>
      <c r="K12" s="3"/>
      <c r="L12" s="3"/>
      <c r="M12" s="3"/>
      <c r="AA12" s="26" t="s">
        <v>36</v>
      </c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21" x14ac:dyDescent="0.45">
      <c r="A13" s="11">
        <f>A7</f>
        <v>5</v>
      </c>
      <c r="B13" s="16">
        <f>SUM(B8*5,B9*4,B10*3,B11*2,B12*1)/$A13</f>
        <v>4.8</v>
      </c>
      <c r="C13" s="16">
        <f t="shared" ref="C13:F13" si="3">SUM(C8*5,C9*4,C10*3,C11*2,C12*1)/$A13</f>
        <v>4.4000000000000004</v>
      </c>
      <c r="D13" s="16">
        <f t="shared" si="3"/>
        <v>5</v>
      </c>
      <c r="E13" s="16">
        <f t="shared" si="3"/>
        <v>5</v>
      </c>
      <c r="F13" s="16">
        <f t="shared" si="3"/>
        <v>5</v>
      </c>
      <c r="G13" s="17"/>
      <c r="H13" s="17"/>
      <c r="I13" s="17"/>
      <c r="J13" s="17"/>
      <c r="K13" s="17"/>
      <c r="L13" s="17"/>
      <c r="M13" s="17"/>
      <c r="N13" s="23">
        <f>AVERAGE(B13:M13)</f>
        <v>4.84</v>
      </c>
      <c r="AA13" s="26" t="s">
        <v>39</v>
      </c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21" x14ac:dyDescent="0.45">
      <c r="A14" s="27" t="s">
        <v>40</v>
      </c>
      <c r="B14" s="9">
        <f>$A19-SUM(B15:B18)</f>
        <v>4</v>
      </c>
      <c r="C14" s="9">
        <f t="shared" ref="C14:F14" si="4">$A19-SUM(C15:C18)</f>
        <v>3</v>
      </c>
      <c r="D14" s="9">
        <f t="shared" si="4"/>
        <v>5</v>
      </c>
      <c r="E14" s="9">
        <f t="shared" si="4"/>
        <v>5</v>
      </c>
      <c r="F14" s="9">
        <f t="shared" si="4"/>
        <v>5</v>
      </c>
      <c r="G14" s="1"/>
      <c r="H14" s="1"/>
      <c r="I14" s="1"/>
      <c r="J14" s="1"/>
      <c r="K14" s="1"/>
      <c r="L14" s="1"/>
      <c r="M14" s="1"/>
      <c r="AA14" s="26" t="s">
        <v>42</v>
      </c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21" x14ac:dyDescent="0.45">
      <c r="A15" s="27"/>
      <c r="B15" s="9">
        <v>1</v>
      </c>
      <c r="C15" s="9">
        <v>1</v>
      </c>
      <c r="D15" s="9">
        <v>0</v>
      </c>
      <c r="E15" s="9">
        <v>0</v>
      </c>
      <c r="F15" s="9">
        <v>0</v>
      </c>
      <c r="G15" s="3"/>
      <c r="H15" s="3"/>
      <c r="I15" s="3"/>
      <c r="J15" s="3"/>
      <c r="K15" s="3"/>
      <c r="L15" s="3"/>
      <c r="M15" s="3"/>
      <c r="AA15" s="29" t="s">
        <v>41</v>
      </c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1"/>
    </row>
    <row r="16" spans="1:43" ht="21" x14ac:dyDescent="0.45">
      <c r="A16" s="27"/>
      <c r="B16" s="9">
        <v>0</v>
      </c>
      <c r="C16" s="9">
        <v>1</v>
      </c>
      <c r="D16" s="9">
        <v>0</v>
      </c>
      <c r="E16" s="9">
        <v>0</v>
      </c>
      <c r="F16" s="9">
        <v>0</v>
      </c>
      <c r="G16" s="3"/>
      <c r="H16" s="3"/>
      <c r="I16" s="3"/>
      <c r="J16" s="3"/>
      <c r="K16" s="3"/>
      <c r="L16" s="3"/>
      <c r="M16" s="3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</row>
    <row r="17" spans="1:28" x14ac:dyDescent="0.4">
      <c r="A17" s="27"/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3"/>
      <c r="H17" s="3"/>
      <c r="I17" s="3"/>
      <c r="J17" s="3"/>
      <c r="K17" s="3"/>
      <c r="L17" s="3"/>
      <c r="M17" s="3"/>
    </row>
    <row r="18" spans="1:28" x14ac:dyDescent="0.4">
      <c r="A18" s="27"/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3"/>
      <c r="H18" s="3"/>
      <c r="I18" s="3"/>
      <c r="J18" s="3"/>
      <c r="K18" s="3"/>
      <c r="L18" s="3"/>
      <c r="M18" s="3"/>
      <c r="AA18" t="s">
        <v>25</v>
      </c>
    </row>
    <row r="19" spans="1:28" x14ac:dyDescent="0.4">
      <c r="A19" s="11">
        <f>A7</f>
        <v>5</v>
      </c>
      <c r="B19" s="16">
        <f>SUM(B14*5,B15*4,B16*3,B17*2,B18*1)/$A19</f>
        <v>4.8</v>
      </c>
      <c r="C19" s="16">
        <f t="shared" ref="C19:F19" si="5">SUM(C14*5,C15*4,C16*3,C17*2,C18*1)/$A19</f>
        <v>4.4000000000000004</v>
      </c>
      <c r="D19" s="16">
        <f t="shared" si="5"/>
        <v>5</v>
      </c>
      <c r="E19" s="16">
        <f t="shared" si="5"/>
        <v>5</v>
      </c>
      <c r="F19" s="16">
        <f t="shared" si="5"/>
        <v>5</v>
      </c>
      <c r="G19" s="17"/>
      <c r="H19" s="17"/>
      <c r="I19" s="17"/>
      <c r="J19" s="17"/>
      <c r="K19" s="17"/>
      <c r="L19" s="17"/>
      <c r="M19" s="17"/>
      <c r="N19" s="23">
        <f>AVERAGE(B19:M19)</f>
        <v>4.84</v>
      </c>
    </row>
    <row r="20" spans="1:28" x14ac:dyDescent="0.4"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28" x14ac:dyDescent="0.4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28" x14ac:dyDescent="0.4">
      <c r="N22" s="23">
        <f>AVERAGE(N7,N13,N19)</f>
        <v>4.84</v>
      </c>
    </row>
    <row r="26" spans="1:28" x14ac:dyDescent="0.4">
      <c r="A26" t="s">
        <v>17</v>
      </c>
    </row>
    <row r="28" spans="1:28" x14ac:dyDescent="0.4">
      <c r="A28" t="s">
        <v>18</v>
      </c>
      <c r="I28" t="s">
        <v>37</v>
      </c>
      <c r="AB28" t="s">
        <v>38</v>
      </c>
    </row>
  </sheetData>
  <mergeCells count="9">
    <mergeCell ref="AA14:AQ14"/>
    <mergeCell ref="A2:A6"/>
    <mergeCell ref="A8:A12"/>
    <mergeCell ref="AA9:AQ9"/>
    <mergeCell ref="AA10:AQ10"/>
    <mergeCell ref="AA12:AQ12"/>
    <mergeCell ref="AA13:AQ13"/>
    <mergeCell ref="A14:A18"/>
    <mergeCell ref="AA15:AQ1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동작</vt:lpstr>
      <vt:lpstr>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AEIG1012</cp:lastModifiedBy>
  <dcterms:created xsi:type="dcterms:W3CDTF">2025-12-12T01:33:42Z</dcterms:created>
  <dcterms:modified xsi:type="dcterms:W3CDTF">2025-12-23T06:31:35Z</dcterms:modified>
</cp:coreProperties>
</file>