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202605" sheetId="1" state="visible" r:id="rId1"/>
    <sheet xmlns:r="http://schemas.openxmlformats.org/officeDocument/2006/relationships" name="pohang1" sheetId="2" state="visible" r:id="rId2"/>
    <sheet xmlns:r="http://schemas.openxmlformats.org/officeDocument/2006/relationships" name="gumi1" sheetId="3" state="visible" r:id="rId3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FF0000"/>
      <sz val="14"/>
      <scheme val="minor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4" fillId="2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zoomScaleNormal="100" workbookViewId="0">
      <selection activeCell="A13" sqref="A13:I27"/>
    </sheetView>
  </sheetViews>
  <sheetFormatPr baseColWidth="8" defaultRowHeight="16.5"/>
  <cols>
    <col width="15.625" customWidth="1" style="19" min="1" max="9"/>
    <col width="17.25" bestFit="1" customWidth="1" style="19" min="11" max="11"/>
    <col width="17.25" bestFit="1" customWidth="1" style="19" min="15" max="15"/>
  </cols>
  <sheetData>
    <row r="1" ht="17.25" customHeight="1" s="19">
      <c r="A1" s="1" t="n"/>
      <c r="B1" s="1" t="n"/>
      <c r="C1" s="2" t="n"/>
      <c r="D1" s="2" t="n"/>
      <c r="E1" s="2" t="n"/>
      <c r="F1" s="18">
        <f>TEXT(NOW(),"MM월 DD일 HH시 MM분 현황")</f>
        <v/>
      </c>
      <c r="H1" s="1" t="n"/>
      <c r="I1" s="1" t="n"/>
      <c r="J1" s="1" t="n"/>
      <c r="K1" s="5" t="inlineStr">
        <is>
          <t>북구</t>
        </is>
      </c>
      <c r="L1" s="5" t="inlineStr">
        <is>
          <t>신청학생</t>
        </is>
      </c>
      <c r="M1" s="5" t="inlineStr">
        <is>
          <t>학생수</t>
        </is>
      </c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6" t="inlineStr">
        <is>
          <t>대구강북초등학교</t>
        </is>
      </c>
      <c r="L2" s="5">
        <f>COUNTIF(#REF!, K2)</f>
        <v/>
      </c>
      <c r="M2" s="5" t="n">
        <v>364</v>
      </c>
    </row>
    <row r="3" ht="20.25" customHeight="1" s="19">
      <c r="A3" s="17" t="inlineStr">
        <is>
          <t>포항 1기</t>
        </is>
      </c>
      <c r="B3" s="14" t="n"/>
      <c r="C3" s="14" t="n"/>
      <c r="D3" s="14" t="n"/>
      <c r="E3" s="14" t="n"/>
      <c r="F3" s="14" t="n"/>
      <c r="G3" s="14" t="n"/>
      <c r="H3" s="14" t="n"/>
      <c r="I3" s="15" t="n"/>
      <c r="J3" s="1" t="n"/>
      <c r="K3" s="5" t="inlineStr">
        <is>
          <t>대구경진초등학교</t>
        </is>
      </c>
      <c r="L3" s="5">
        <f>COUNTIF(#REF!, K3)</f>
        <v/>
      </c>
      <c r="M3" s="5" t="n">
        <v>32</v>
      </c>
    </row>
    <row r="4">
      <c r="A4" s="20" t="inlineStr">
        <is>
          <t>구분</t>
        </is>
      </c>
      <c r="B4" s="20" t="inlineStr">
        <is>
          <t>3학년</t>
        </is>
      </c>
      <c r="C4" s="20" t="inlineStr">
        <is>
          <t>4학년</t>
        </is>
      </c>
      <c r="D4" s="20" t="inlineStr">
        <is>
          <t>5학년</t>
        </is>
      </c>
      <c r="E4" s="20" t="inlineStr">
        <is>
          <t>6학년</t>
        </is>
      </c>
      <c r="F4" s="16" t="inlineStr">
        <is>
          <t>온라인계</t>
        </is>
      </c>
      <c r="G4" s="11" t="inlineStr">
        <is>
          <t>오프라인</t>
        </is>
      </c>
      <c r="H4" s="11" t="inlineStr">
        <is>
          <t>전일</t>
        </is>
      </c>
      <c r="I4" s="11" t="inlineStr">
        <is>
          <t>추가</t>
        </is>
      </c>
      <c r="J4" s="1" t="n"/>
      <c r="K4" s="5" t="inlineStr">
        <is>
          <t>대구관남초등학교</t>
        </is>
      </c>
      <c r="L4" s="5">
        <f>COUNTIF(#REF!, K4)</f>
        <v/>
      </c>
      <c r="M4" s="5" t="n">
        <v>136</v>
      </c>
    </row>
    <row r="5">
      <c r="A5" s="20" t="inlineStr">
        <is>
          <t>월수</t>
        </is>
      </c>
      <c r="B5" s="3">
        <f>SUM(COUNTIFS(pohang1!$C:$C,$A5,pohang1!$I:$I,VALUE(SUBSTITUTE(B$4,"학년","")),pohang1!$B:$B,{"초등학교","관외학교"}))</f>
        <v/>
      </c>
      <c r="C5" s="3">
        <f>SUM(COUNTIFS(pohang1!$C:$C,$A5,pohang1!$I:$I,VALUE(SUBSTITUTE(C$4,"학년","")),pohang1!$B:$B,{"초등학교","관외학교"}))</f>
        <v/>
      </c>
      <c r="D5" s="3">
        <f>SUM(COUNTIFS(pohang1!$C:$C,$A5,pohang1!$I:$I,VALUE(SUBSTITUTE(D$4,"학년","")),pohang1!$B:$B,{"초등학교","관외학교"}))</f>
        <v/>
      </c>
      <c r="E5" s="3">
        <f>SUM(COUNTIFS(pohang1!$C:$C,$A5,pohang1!$I:$I,VALUE(SUBSTITUTE(E$4,"학년","")),pohang1!$B:$B,{"초등학교","관외학교"}))</f>
        <v/>
      </c>
      <c r="F5" s="3">
        <f>SUM(B5:E5)</f>
        <v/>
      </c>
      <c r="G5" s="3" t="n">
        <v>0</v>
      </c>
      <c r="H5" s="3" t="n">
        <v>0</v>
      </c>
      <c r="I5" s="3" t="n">
        <v>0</v>
      </c>
      <c r="J5" s="1" t="n"/>
      <c r="K5" s="6" t="inlineStr">
        <is>
          <t>대구관문초등학교</t>
        </is>
      </c>
      <c r="L5" s="5">
        <f>COUNTIF(#REF!, K5)</f>
        <v/>
      </c>
      <c r="M5" s="5" t="n">
        <v>426</v>
      </c>
    </row>
    <row r="6">
      <c r="A6" s="20" t="inlineStr">
        <is>
          <t>화목</t>
        </is>
      </c>
      <c r="B6" s="3">
        <f>SUM(COUNTIFS(pohang1!$C:$C,$A6,pohang1!$I:$I,VALUE(SUBSTITUTE(B$4,"학년","")),pohang1!$B:$B,{"초등학교","관외학교"}))</f>
        <v/>
      </c>
      <c r="C6" s="3">
        <f>SUM(COUNTIFS(pohang1!$C:$C,$A6,pohang1!$I:$I,VALUE(SUBSTITUTE(C$4,"학년","")),pohang1!$B:$B,{"초등학교","관외학교"}))</f>
        <v/>
      </c>
      <c r="D6" s="3">
        <f>SUM(COUNTIFS(pohang1!$C:$C,$A6,pohang1!$I:$I,VALUE(SUBSTITUTE(D$4,"학년","")),pohang1!$B:$B,{"초등학교","관외학교"}))</f>
        <v/>
      </c>
      <c r="E6" s="3">
        <f>SUM(COUNTIFS(pohang1!$C:$C,$A6,pohang1!$I:$I,VALUE(SUBSTITUTE(E$4,"학년","")),pohang1!$B:$B,{"초등학교","관외학교"}))</f>
        <v/>
      </c>
      <c r="F6" s="3">
        <f>SUM(B6:E6)</f>
        <v/>
      </c>
      <c r="G6" s="11" t="inlineStr">
        <is>
          <t>증가량</t>
        </is>
      </c>
      <c r="H6" s="16" t="inlineStr">
        <is>
          <t>포항 1기 총인원</t>
        </is>
      </c>
      <c r="I6" s="16" t="inlineStr">
        <is>
          <t>실제 온라인</t>
        </is>
      </c>
      <c r="J6" s="1" t="n"/>
      <c r="K6" s="5" t="inlineStr">
        <is>
          <t>대구관음초등학교</t>
        </is>
      </c>
      <c r="L6" s="5">
        <f>COUNTIF(#REF!, K6)</f>
        <v/>
      </c>
      <c r="M6" s="5" t="n">
        <v>94</v>
      </c>
    </row>
    <row r="7" ht="20.25" customHeight="1" s="19">
      <c r="A7" s="16" t="inlineStr">
        <is>
          <t>계</t>
        </is>
      </c>
      <c r="B7" s="3">
        <f>SUM(B5:B6)</f>
        <v/>
      </c>
      <c r="C7" s="3">
        <f>SUM(C5:C6)</f>
        <v/>
      </c>
      <c r="D7" s="3">
        <f>SUM(D5:D6)</f>
        <v/>
      </c>
      <c r="E7" s="3">
        <f>SUM(E5:E6)</f>
        <v/>
      </c>
      <c r="F7" s="4">
        <f>SUM(B7:E7)</f>
        <v/>
      </c>
      <c r="G7" s="4">
        <f>(F7-H5)</f>
        <v/>
      </c>
      <c r="H7" s="4">
        <f>SUM(F7,G5)</f>
        <v/>
      </c>
      <c r="I7" s="4">
        <f>(F7-I5)</f>
        <v/>
      </c>
      <c r="J7" s="1" t="n"/>
      <c r="K7" s="5" t="inlineStr">
        <is>
          <t>대구관천초등학교</t>
        </is>
      </c>
      <c r="L7" s="5">
        <f>COUNTIF(#REF!, K7)</f>
        <v/>
      </c>
      <c r="M7" s="5" t="n">
        <v>81</v>
      </c>
    </row>
    <row r="8">
      <c r="A8" s="1" t="n"/>
      <c r="C8" s="1" t="n"/>
      <c r="D8" s="1" t="n"/>
      <c r="E8" s="2" t="n"/>
      <c r="F8" s="2" t="n"/>
      <c r="G8" s="2" t="n"/>
      <c r="H8" s="2" t="n"/>
      <c r="I8" s="16" t="inlineStr">
        <is>
          <t>실제 총인원</t>
        </is>
      </c>
      <c r="J8" s="1" t="n"/>
      <c r="K8" s="5" t="inlineStr">
        <is>
          <t>대구교동초등학교</t>
        </is>
      </c>
      <c r="L8" s="5">
        <f>COUNTIF(#REF!, K8)</f>
        <v/>
      </c>
      <c r="M8" s="5" t="n">
        <v>85</v>
      </c>
    </row>
    <row r="9" ht="20.25" customHeight="1" s="19">
      <c r="A9" s="1" t="n"/>
      <c r="C9" s="1" t="n"/>
      <c r="D9" s="1" t="n"/>
      <c r="F9" s="20" t="inlineStr">
        <is>
          <t>오프라인</t>
        </is>
      </c>
      <c r="G9" s="20" t="inlineStr">
        <is>
          <t>인원</t>
        </is>
      </c>
      <c r="H9" s="2" t="n"/>
      <c r="I9" s="4">
        <f>(I7+G5)</f>
        <v/>
      </c>
      <c r="J9" s="1" t="n"/>
      <c r="K9" s="5" t="inlineStr">
        <is>
          <t>대구구암초등학교</t>
        </is>
      </c>
      <c r="L9" s="5">
        <f>COUNTIF(#REF!, K9)</f>
        <v/>
      </c>
      <c r="M9" s="5" t="n">
        <v>132</v>
      </c>
    </row>
    <row r="10">
      <c r="A10" s="1" t="n"/>
      <c r="B10" s="1" t="n"/>
      <c r="C10" s="1" t="n"/>
      <c r="D10" s="1" t="n"/>
      <c r="F10" s="3" t="n"/>
      <c r="G10" s="3" t="n"/>
      <c r="H10" s="2" t="n"/>
      <c r="I10" s="1" t="n"/>
      <c r="J10" s="1" t="n"/>
      <c r="K10" s="5" t="inlineStr">
        <is>
          <t>대구국우초등학교</t>
        </is>
      </c>
      <c r="L10" s="5">
        <f>COUNTIF(#REF!, K10)</f>
        <v/>
      </c>
      <c r="M10" s="5" t="n">
        <v>169</v>
      </c>
    </row>
    <row r="11">
      <c r="A11" s="1" t="n"/>
      <c r="B11" s="1" t="n"/>
      <c r="C11" s="1" t="n"/>
      <c r="D11" s="1" t="n"/>
      <c r="E11" s="1" t="n"/>
      <c r="F11" s="3" t="n"/>
      <c r="G11" s="3" t="n"/>
      <c r="H11" s="1" t="n"/>
      <c r="I11" s="1" t="n"/>
      <c r="J11" s="1" t="n"/>
      <c r="K11" s="6" t="inlineStr">
        <is>
          <t>대구달산초등학교</t>
        </is>
      </c>
      <c r="L11" s="5">
        <f>COUNTIF(#REF!, K11)</f>
        <v/>
      </c>
      <c r="M11" s="5" t="n">
        <v>454</v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5" t="inlineStr">
        <is>
          <t>대구대산초등학교</t>
        </is>
      </c>
      <c r="L12" s="5">
        <f>COUNTIF(#REF!, K12)</f>
        <v/>
      </c>
      <c r="M12" s="5" t="n">
        <v>48</v>
      </c>
    </row>
    <row r="13" ht="20.25" customHeight="1" s="19">
      <c r="A13" s="17" t="inlineStr">
        <is>
          <t>북구 3기</t>
        </is>
      </c>
      <c r="B13" s="14" t="n"/>
      <c r="C13" s="14" t="n"/>
      <c r="D13" s="14" t="n"/>
      <c r="E13" s="14" t="n"/>
      <c r="F13" s="14" t="n"/>
      <c r="G13" s="14" t="n"/>
      <c r="H13" s="14" t="n"/>
      <c r="I13" s="15" t="n"/>
      <c r="J13" s="2" t="n"/>
      <c r="K13" s="5" t="inlineStr">
        <is>
          <t>대구대천초등학교</t>
        </is>
      </c>
      <c r="L13" s="5">
        <f>COUNTIF(#REF!, K13)</f>
        <v/>
      </c>
      <c r="M13" s="5" t="n">
        <v>171</v>
      </c>
    </row>
    <row r="14">
      <c r="A14" s="20" t="inlineStr">
        <is>
          <t>구분</t>
        </is>
      </c>
      <c r="B14" s="13" t="inlineStr">
        <is>
          <t>초등학교</t>
        </is>
      </c>
      <c r="C14" s="14" t="n"/>
      <c r="D14" s="14" t="n"/>
      <c r="E14" s="15" t="n"/>
      <c r="F14" s="16" t="inlineStr">
        <is>
          <t>초등 온라인계</t>
        </is>
      </c>
      <c r="G14" s="11" t="inlineStr">
        <is>
          <t>오프라인</t>
        </is>
      </c>
      <c r="H14" s="11" t="inlineStr">
        <is>
          <t>전일</t>
        </is>
      </c>
      <c r="I14" s="11" t="inlineStr">
        <is>
          <t>추가</t>
        </is>
      </c>
      <c r="J14" s="1" t="n"/>
      <c r="K14" s="5" t="inlineStr">
        <is>
          <t>대구도남초등학교</t>
        </is>
      </c>
      <c r="L14" s="5">
        <f>COUNTIF(#REF!, K14)</f>
        <v/>
      </c>
      <c r="M14" s="5" t="n">
        <v>294</v>
      </c>
    </row>
    <row r="15">
      <c r="A15" s="12" t="n"/>
      <c r="B15" s="20" t="inlineStr">
        <is>
          <t>3학년</t>
        </is>
      </c>
      <c r="C15" s="20" t="inlineStr">
        <is>
          <t>4학년</t>
        </is>
      </c>
      <c r="D15" s="20" t="inlineStr">
        <is>
          <t>5학년</t>
        </is>
      </c>
      <c r="E15" s="20" t="inlineStr">
        <is>
          <t>6학년</t>
        </is>
      </c>
      <c r="F15" s="12" t="n"/>
      <c r="G15" s="12" t="n"/>
      <c r="H15" s="12" t="n"/>
      <c r="I15" s="12" t="n"/>
      <c r="J15" s="1" t="n"/>
      <c r="K15" s="5" t="inlineStr">
        <is>
          <t>대구동변초등학교</t>
        </is>
      </c>
      <c r="L15" s="5">
        <f>COUNTIF(#REF!, K15)</f>
        <v/>
      </c>
      <c r="M15" s="5" t="n">
        <v>305</v>
      </c>
    </row>
    <row r="16">
      <c r="A16" s="20" t="inlineStr">
        <is>
          <t>월수</t>
        </is>
      </c>
      <c r="B16" s="3">
        <f>COUNTIFS(#REF!,$A$5,#REF!,3,#REF!,"초등학교")</f>
        <v/>
      </c>
      <c r="C16" s="3">
        <f>COUNTIFS(#REF!,$A$5,#REF!,4,#REF!,"초등학교")</f>
        <v/>
      </c>
      <c r="D16" s="3">
        <f>COUNTIFS(#REF!,$A$5,#REF!,5,#REF!,"초등학교")</f>
        <v/>
      </c>
      <c r="E16" s="3">
        <f>COUNTIFS(#REF!,$A$5,#REF!,6,#REF!,"초등학교")</f>
        <v/>
      </c>
      <c r="F16" s="3">
        <f>SUM(B16:E16)</f>
        <v/>
      </c>
      <c r="G16" s="3" t="n">
        <v>115</v>
      </c>
      <c r="H16" s="3" t="n">
        <v>319</v>
      </c>
      <c r="I16" s="3" t="n">
        <v>98</v>
      </c>
      <c r="J16" s="1" t="n"/>
      <c r="K16" s="5" t="inlineStr">
        <is>
          <t>대구동평초등학교</t>
        </is>
      </c>
      <c r="L16" s="5">
        <f>COUNTIF(#REF!, K16)</f>
        <v/>
      </c>
      <c r="M16" s="5" t="n">
        <v>412</v>
      </c>
    </row>
    <row r="17" ht="20.25" customHeight="1" s="19">
      <c r="A17" s="20" t="inlineStr">
        <is>
          <t>화목</t>
        </is>
      </c>
      <c r="B17" s="3">
        <f>COUNTIFS(#REF!,$A$6,#REF!,3,#REF!,"초등학교")</f>
        <v/>
      </c>
      <c r="C17" s="3">
        <f>COUNTIFS(#REF!,$A$6,#REF!,4,#REF!,"초등학교")</f>
        <v/>
      </c>
      <c r="D17" s="3">
        <f>COUNTIFS(#REF!,$A$6,#REF!,5,#REF!,"초등학교")</f>
        <v/>
      </c>
      <c r="E17" s="3">
        <f>COUNTIFS(#REF!,$A$6,#REF!,6,#REF!,"초등학교")</f>
        <v/>
      </c>
      <c r="F17" s="3">
        <f>SUM(B17:E17)</f>
        <v/>
      </c>
      <c r="G17" s="11" t="inlineStr">
        <is>
          <t>증가량</t>
        </is>
      </c>
      <c r="H17" s="16" t="inlineStr">
        <is>
          <t>북구 3기 총인원</t>
        </is>
      </c>
      <c r="I17" s="16" t="inlineStr">
        <is>
          <t>실제 온라인</t>
        </is>
      </c>
      <c r="J17" s="1" t="n"/>
      <c r="K17" s="5" t="inlineStr">
        <is>
          <t>대구매천초등학교</t>
        </is>
      </c>
      <c r="L17" s="5">
        <f>COUNTIF(#REF!, K17)</f>
        <v/>
      </c>
      <c r="M17" s="5" t="n">
        <v>158</v>
      </c>
    </row>
    <row r="18" ht="20.25" customHeight="1" s="19">
      <c r="A18" s="16" t="inlineStr">
        <is>
          <t>계</t>
        </is>
      </c>
      <c r="B18" s="3">
        <f>SUM(B16:B17)</f>
        <v/>
      </c>
      <c r="C18" s="3">
        <f>SUM(C16:C17)</f>
        <v/>
      </c>
      <c r="D18" s="3">
        <f>SUM(D16:D17)</f>
        <v/>
      </c>
      <c r="E18" s="3">
        <f>SUM(E16:E17)</f>
        <v/>
      </c>
      <c r="F18" s="4">
        <f>SUM(B18:E18)</f>
        <v/>
      </c>
      <c r="G18" s="4">
        <f>(F23-H16)</f>
        <v/>
      </c>
      <c r="H18" s="4">
        <f>SUM(F23,G16)</f>
        <v/>
      </c>
      <c r="I18" s="4">
        <f>(F23-I16)</f>
        <v/>
      </c>
      <c r="J18" s="1" t="n"/>
      <c r="K18" s="5" t="inlineStr">
        <is>
          <t>대구문성초등학교</t>
        </is>
      </c>
      <c r="L18" s="5">
        <f>COUNTIF(#REF!, K18)</f>
        <v/>
      </c>
      <c r="M18" s="5" t="n">
        <v>220</v>
      </c>
    </row>
    <row r="19" ht="20.25" customHeight="1" s="19">
      <c r="A19" s="20" t="inlineStr">
        <is>
          <t>구분</t>
        </is>
      </c>
      <c r="B19" s="13" t="inlineStr">
        <is>
          <t>중학교</t>
        </is>
      </c>
      <c r="C19" s="14" t="n"/>
      <c r="D19" s="15" t="n"/>
      <c r="E19" s="16" t="inlineStr">
        <is>
          <t>중등 온라인계</t>
        </is>
      </c>
      <c r="F19" s="16" t="inlineStr">
        <is>
          <t>온라인계</t>
        </is>
      </c>
      <c r="G19" s="2" t="n"/>
      <c r="H19" s="2" t="n"/>
      <c r="I19" s="16" t="inlineStr">
        <is>
          <t>실제 총인원</t>
        </is>
      </c>
      <c r="J19" s="1" t="n"/>
      <c r="K19" s="6" t="inlineStr">
        <is>
          <t>대구복현초등학교</t>
        </is>
      </c>
      <c r="L19" s="5">
        <f>COUNTIF(#REF!, K19)</f>
        <v/>
      </c>
      <c r="M19" s="5" t="n">
        <v>488</v>
      </c>
    </row>
    <row r="20" ht="20.25" customHeight="1" s="19">
      <c r="A20" s="12" t="n"/>
      <c r="B20" s="20" t="inlineStr">
        <is>
          <t>1학년</t>
        </is>
      </c>
      <c r="C20" s="20" t="inlineStr">
        <is>
          <t>2학년</t>
        </is>
      </c>
      <c r="D20" s="20" t="inlineStr">
        <is>
          <t>3학년</t>
        </is>
      </c>
      <c r="E20" s="12" t="n"/>
      <c r="F20" s="12" t="n"/>
      <c r="H20" s="2" t="n"/>
      <c r="I20" s="4">
        <f>(I18+G16)</f>
        <v/>
      </c>
      <c r="J20" s="1" t="n"/>
      <c r="K20" s="5" t="inlineStr">
        <is>
          <t>대구북부초등학교</t>
        </is>
      </c>
      <c r="L20" s="5">
        <f>COUNTIF(#REF!, K20)</f>
        <v/>
      </c>
      <c r="M20" s="5" t="n">
        <v>101</v>
      </c>
    </row>
    <row r="21">
      <c r="A21" s="20" t="inlineStr">
        <is>
          <t>월수</t>
        </is>
      </c>
      <c r="B21" s="3">
        <f>COUNTIFS(#REF!,$A$5,#REF!,1,#REF!,"중학교")</f>
        <v/>
      </c>
      <c r="C21" s="3">
        <f>COUNTIFS(#REF!,$A$5,#REF!,2,#REF!,"중학교")</f>
        <v/>
      </c>
      <c r="D21" s="3">
        <f>COUNTIFS(#REF!,$A$5,#REF!,3,#REF!,"중학교")</f>
        <v/>
      </c>
      <c r="E21" s="3">
        <f>SUM(A21:D21)</f>
        <v/>
      </c>
      <c r="F21" s="3">
        <f>E21+F16</f>
        <v/>
      </c>
      <c r="H21" s="2" t="n"/>
      <c r="I21" s="1" t="n"/>
      <c r="K21" s="5" t="inlineStr">
        <is>
          <t>대구사수초등학교</t>
        </is>
      </c>
      <c r="L21" s="5">
        <f>COUNTIF(#REF!, K21)</f>
        <v/>
      </c>
      <c r="M21" s="5" t="n">
        <v>413</v>
      </c>
    </row>
    <row r="22">
      <c r="A22" s="20" t="inlineStr">
        <is>
          <t>화목</t>
        </is>
      </c>
      <c r="B22" s="3">
        <f>COUNTIFS(#REF!,$A$6,#REF!,1,#REF!,"중학교")</f>
        <v/>
      </c>
      <c r="C22" s="3">
        <f>COUNTIFS(#REF!,$A$6,#REF!,2,#REF!,"중학교")</f>
        <v/>
      </c>
      <c r="D22" s="3">
        <f>COUNTIFS(#REF!,$A$6,#REF!,3,#REF!,"중학교")</f>
        <v/>
      </c>
      <c r="E22" s="3">
        <f>SUM(A22:D22)</f>
        <v/>
      </c>
      <c r="F22" s="3">
        <f>E22+F17</f>
        <v/>
      </c>
      <c r="K22" s="5" t="inlineStr">
        <is>
          <t>대구산격초등학교</t>
        </is>
      </c>
      <c r="L22" s="5">
        <f>COUNTIF(#REF!, K22)</f>
        <v/>
      </c>
      <c r="M22" s="5" t="n">
        <v>133</v>
      </c>
    </row>
    <row r="23" ht="20.25" customHeight="1" s="19">
      <c r="A23" s="16" t="inlineStr">
        <is>
          <t>계</t>
        </is>
      </c>
      <c r="B23" s="3">
        <f>SUM(B21:B22)</f>
        <v/>
      </c>
      <c r="C23" s="3">
        <f>SUM(C21:C22)</f>
        <v/>
      </c>
      <c r="D23" s="3">
        <f>SUM(D21:D22)</f>
        <v/>
      </c>
      <c r="E23" s="4">
        <f>SUM(A23:D23)</f>
        <v/>
      </c>
      <c r="F23" s="4">
        <f>E23+F18</f>
        <v/>
      </c>
      <c r="K23" s="5" t="inlineStr">
        <is>
          <t>대구삼영초등학교</t>
        </is>
      </c>
      <c r="L23" s="5">
        <f>COUNTIF(#REF!, K23)</f>
        <v/>
      </c>
      <c r="M23" s="5" t="n">
        <v>279</v>
      </c>
    </row>
    <row r="24" ht="20.25" customHeight="1" s="19">
      <c r="K24" s="5" t="inlineStr">
        <is>
          <t>대구서변초등학교</t>
        </is>
      </c>
      <c r="L24" s="5">
        <f>COUNTIF(#REF!, K24)</f>
        <v/>
      </c>
      <c r="M24" s="5" t="n">
        <v>177</v>
      </c>
    </row>
    <row r="25">
      <c r="F25" s="20" t="inlineStr">
        <is>
          <t>오프라인</t>
        </is>
      </c>
      <c r="G25" s="20" t="inlineStr">
        <is>
          <t>인원</t>
        </is>
      </c>
      <c r="K25" s="5" t="inlineStr">
        <is>
          <t>대구성북초등학교</t>
        </is>
      </c>
      <c r="L25" s="5">
        <f>COUNTIF(#REF!, K25)</f>
        <v/>
      </c>
      <c r="M25" s="5" t="n">
        <v>157</v>
      </c>
    </row>
    <row r="26">
      <c r="F26" s="3" t="inlineStr">
        <is>
          <t>동평초</t>
        </is>
      </c>
      <c r="G26" s="3" t="n">
        <v>115</v>
      </c>
      <c r="K26" s="6" t="inlineStr">
        <is>
          <t>대구신암초등학교</t>
        </is>
      </c>
      <c r="L26" s="5">
        <f>COUNTIF(#REF!, K26)</f>
        <v/>
      </c>
      <c r="M26" s="5" t="n">
        <v>316</v>
      </c>
    </row>
    <row r="27">
      <c r="F27" s="3" t="n"/>
      <c r="G27" s="3" t="n"/>
      <c r="K27" s="5" t="inlineStr">
        <is>
          <t>대구연경초등학교</t>
        </is>
      </c>
      <c r="L27" s="5">
        <f>COUNTIF(#REF!, K27)</f>
        <v/>
      </c>
      <c r="M27" s="5" t="n">
        <v>328</v>
      </c>
    </row>
    <row r="28" ht="20.25" customHeight="1" s="19">
      <c r="K28" s="6" t="inlineStr">
        <is>
          <t>대구옥산초등학교</t>
        </is>
      </c>
      <c r="L28" s="5">
        <f>COUNTIF(#REF!, K28)</f>
        <v/>
      </c>
      <c r="M28" s="5" t="n">
        <v>373</v>
      </c>
    </row>
    <row r="29">
      <c r="K29" s="5" t="inlineStr">
        <is>
          <t>대구운암초등학교</t>
        </is>
      </c>
      <c r="L29" s="5">
        <f>COUNTIF(#REF!, K29)</f>
        <v/>
      </c>
      <c r="M29" s="5" t="n">
        <v>270</v>
      </c>
    </row>
    <row r="30" ht="20.25" customHeight="1" s="19">
      <c r="F30" s="1" t="n"/>
      <c r="G30" s="1" t="n"/>
      <c r="K30" s="5" t="inlineStr">
        <is>
          <t>대구칠곡초등학교</t>
        </is>
      </c>
      <c r="L30" s="5">
        <f>COUNTIF(#REF!, K30)</f>
        <v/>
      </c>
      <c r="M30" s="5" t="n">
        <v>245</v>
      </c>
    </row>
    <row r="31">
      <c r="G31" s="1" t="n"/>
      <c r="K31" s="5" t="inlineStr">
        <is>
          <t>대구칠성초등학교</t>
        </is>
      </c>
      <c r="L31" s="5">
        <f>COUNTIF(#REF!, K31)</f>
        <v/>
      </c>
      <c r="M31" s="5" t="n">
        <v>694</v>
      </c>
    </row>
    <row r="32">
      <c r="K32" s="6" t="inlineStr">
        <is>
          <t>대구침산초등학교</t>
        </is>
      </c>
      <c r="L32" s="5">
        <f>COUNTIF(#REF!, K32)</f>
        <v/>
      </c>
      <c r="M32" s="5" t="n">
        <v>590</v>
      </c>
    </row>
    <row r="33" ht="20.25" customHeight="1" s="19">
      <c r="K33" s="5" t="inlineStr">
        <is>
          <t>대구태암초등학교</t>
        </is>
      </c>
      <c r="L33" s="5">
        <f>COUNTIF(#REF!, K33)</f>
        <v/>
      </c>
      <c r="M33" s="5" t="n">
        <v>236</v>
      </c>
    </row>
    <row r="34">
      <c r="K34" s="5" t="inlineStr">
        <is>
          <t>대구태전초등학교</t>
        </is>
      </c>
      <c r="L34" s="5">
        <f>COUNTIF(#REF!, K34)</f>
        <v/>
      </c>
      <c r="M34" s="5" t="n">
        <v>106</v>
      </c>
    </row>
    <row r="35">
      <c r="K35" s="5" t="inlineStr">
        <is>
          <t>대구태현초등학교</t>
        </is>
      </c>
      <c r="L35" s="5">
        <f>COUNTIF(#REF!, K35)</f>
        <v/>
      </c>
      <c r="M35" s="5" t="n">
        <v>162</v>
      </c>
    </row>
    <row r="36">
      <c r="K36" s="5" t="inlineStr">
        <is>
          <t>대구팔달초등학교</t>
        </is>
      </c>
      <c r="L36" s="5">
        <f>COUNTIF(#REF!, K36)</f>
        <v/>
      </c>
      <c r="M36" s="5" t="n">
        <v>114</v>
      </c>
    </row>
    <row r="37">
      <c r="K37" s="6" t="inlineStr">
        <is>
          <t>대구학남초등학교</t>
        </is>
      </c>
      <c r="L37" s="5">
        <f>COUNTIF(#REF!, K37)</f>
        <v/>
      </c>
      <c r="M37" s="5" t="n">
        <v>293</v>
      </c>
    </row>
    <row r="38">
      <c r="K38" s="6" t="inlineStr">
        <is>
          <t>대구학정초등학교</t>
        </is>
      </c>
      <c r="L38" s="5">
        <f>COUNTIF(#REF!, K38)</f>
        <v/>
      </c>
      <c r="M38" s="5" t="n">
        <v>258</v>
      </c>
    </row>
    <row r="39">
      <c r="K39" s="5" t="inlineStr">
        <is>
          <t>대구함지초등학교</t>
        </is>
      </c>
      <c r="L39" s="5">
        <f>COUNTIF(#REF!, K39)</f>
        <v/>
      </c>
      <c r="M39" s="5" t="n">
        <v>169</v>
      </c>
    </row>
    <row r="40">
      <c r="K40" s="5" t="inlineStr">
        <is>
          <t>북대구초등학교</t>
        </is>
      </c>
      <c r="L40" s="5">
        <f>COUNTIF(#REF!, K40)</f>
        <v/>
      </c>
      <c r="M40" s="5" t="n">
        <v>184</v>
      </c>
    </row>
  </sheetData>
  <mergeCells count="13">
    <mergeCell ref="I14:I15"/>
    <mergeCell ref="H14:H15"/>
    <mergeCell ref="B19:D19"/>
    <mergeCell ref="F19:F20"/>
    <mergeCell ref="A13:I13"/>
    <mergeCell ref="A3:I3"/>
    <mergeCell ref="E19:E20"/>
    <mergeCell ref="B14:E14"/>
    <mergeCell ref="F1:G1"/>
    <mergeCell ref="A19:A20"/>
    <mergeCell ref="A14:A15"/>
    <mergeCell ref="G14:G15"/>
    <mergeCell ref="F14:F15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6.5"/>
  <sheetData>
    <row r="1">
      <c r="A1" t="inlineStr">
        <is>
          <t>포항_202605_주문현황 (2026-04-21)</t>
        </is>
      </c>
    </row>
    <row r="2">
      <c r="A2" t="inlineStr">
        <is>
          <t>No.</t>
        </is>
      </c>
      <c r="B2" t="inlineStr">
        <is>
          <t>학교레벨</t>
        </is>
      </c>
      <c r="C2" t="inlineStr">
        <is>
          <t>강좌명</t>
        </is>
      </c>
      <c r="D2" t="inlineStr">
        <is>
          <t>재수강</t>
        </is>
      </c>
      <c r="E2" t="inlineStr">
        <is>
          <t>회원명</t>
        </is>
      </c>
      <c r="F2" t="inlineStr">
        <is>
          <t>회원ID</t>
        </is>
      </c>
      <c r="G2" t="inlineStr">
        <is>
          <t>성별</t>
        </is>
      </c>
      <c r="H2" t="inlineStr">
        <is>
          <t>학교</t>
        </is>
      </c>
      <c r="I2" t="inlineStr">
        <is>
          <t>학년</t>
        </is>
      </c>
      <c r="J2" t="inlineStr">
        <is>
          <t>휴대전화</t>
        </is>
      </c>
      <c r="K2" t="inlineStr">
        <is>
          <t>학부모명</t>
        </is>
      </c>
      <c r="L2" t="inlineStr">
        <is>
          <t>학부모연락처</t>
        </is>
      </c>
      <c r="M2" t="inlineStr">
        <is>
          <t>주소2 (교재배송)</t>
        </is>
      </c>
      <c r="N2" t="inlineStr">
        <is>
          <t>1번</t>
        </is>
      </c>
      <c r="O2" t="inlineStr">
        <is>
          <t>2번</t>
        </is>
      </c>
      <c r="P2" t="inlineStr">
        <is>
          <t>3번</t>
        </is>
      </c>
      <c r="Q2" t="inlineStr">
        <is>
          <t>4번</t>
        </is>
      </c>
      <c r="R2" t="inlineStr">
        <is>
          <t>5번</t>
        </is>
      </c>
      <c r="S2" t="inlineStr">
        <is>
          <t>6번</t>
        </is>
      </c>
      <c r="T2" t="inlineStr">
        <is>
          <t>7번</t>
        </is>
      </c>
      <c r="U2" t="inlineStr">
        <is>
          <t>회원할인</t>
        </is>
      </c>
    </row>
    <row r="3">
      <c r="A3" t="n">
        <v>1</v>
      </c>
      <c r="B3" t="inlineStr">
        <is>
          <t>초등학교</t>
        </is>
      </c>
      <c r="C3" t="inlineStr">
        <is>
          <t>화목</t>
        </is>
      </c>
      <c r="D3" t="inlineStr">
        <is>
          <t>1 회</t>
        </is>
      </c>
      <c r="E3" t="inlineStr">
        <is>
          <t>정다은</t>
        </is>
      </c>
      <c r="F3" t="inlineStr">
        <is>
          <t>jade914</t>
        </is>
      </c>
      <c r="G3" t="inlineStr">
        <is>
          <t>여</t>
        </is>
      </c>
      <c r="H3" t="inlineStr">
        <is>
          <t>포항장원초등학교</t>
        </is>
      </c>
      <c r="I3" t="n">
        <v>4</v>
      </c>
      <c r="J3" t="inlineStr">
        <is>
          <t>010-7180-5343</t>
        </is>
      </c>
      <c r="K3" t="inlineStr">
        <is>
          <t>장진옥</t>
        </is>
      </c>
      <c r="L3" t="inlineStr">
        <is>
          <t>010-7180-5343</t>
        </is>
      </c>
      <c r="M3" t="inlineStr">
        <is>
          <t>[37577  ] 경북 포항시 북구 침촌지구로 10 (장성동, 장성 푸르지오)109동 1606호</t>
        </is>
      </c>
      <c r="N3" t="inlineStr">
        <is>
          <t>매우 그렇다</t>
        </is>
      </c>
      <c r="O3" t="inlineStr">
        <is>
          <t>전혀 그렇지 않다</t>
        </is>
      </c>
      <c r="P3" t="inlineStr">
        <is>
          <t>전혀 그렇지 않다</t>
        </is>
      </c>
      <c r="Q3" t="inlineStr">
        <is>
          <t>전혀 그렇지 않다</t>
        </is>
      </c>
      <c r="R3" t="inlineStr">
        <is>
          <t>전혀 그렇지 않다</t>
        </is>
      </c>
      <c r="S3" t="inlineStr">
        <is>
          <t>전혀 그렇지 않다</t>
        </is>
      </c>
      <c r="T3" t="inlineStr">
        <is>
          <t>전혀 그렇지 않다</t>
        </is>
      </c>
      <c r="U3" t="inlineStr">
        <is>
          <t>(일반)</t>
        </is>
      </c>
    </row>
    <row r="4">
      <c r="A4" t="n">
        <v>2</v>
      </c>
      <c r="B4" t="inlineStr">
        <is>
          <t>초등학교</t>
        </is>
      </c>
      <c r="C4" t="inlineStr">
        <is>
          <t>화목</t>
        </is>
      </c>
      <c r="D4" t="inlineStr">
        <is>
          <t>1 회</t>
        </is>
      </c>
      <c r="E4" t="inlineStr">
        <is>
          <t>방한결</t>
        </is>
      </c>
      <c r="F4" t="inlineStr">
        <is>
          <t>hk0317</t>
        </is>
      </c>
      <c r="G4" t="inlineStr">
        <is>
          <t>남</t>
        </is>
      </c>
      <c r="H4" t="inlineStr">
        <is>
          <t>포항장원초등학교</t>
        </is>
      </c>
      <c r="I4" t="n">
        <v>5</v>
      </c>
      <c r="J4" t="inlineStr">
        <is>
          <t>010-8878-3329</t>
        </is>
      </c>
      <c r="K4" t="inlineStr">
        <is>
          <t>방지훈</t>
        </is>
      </c>
      <c r="L4" t="inlineStr">
        <is>
          <t>010-8878-3329</t>
        </is>
      </c>
      <c r="M4" t="inlineStr">
        <is>
          <t>[37577  ] 경북 포항시 북구 침촌지구로 10 (장성동, 장성 푸르지오)109동2801호</t>
        </is>
      </c>
      <c r="N4" t="inlineStr">
        <is>
          <t>보통이다</t>
        </is>
      </c>
      <c r="O4" t="inlineStr">
        <is>
          <t>그렇지 않다</t>
        </is>
      </c>
      <c r="P4" t="inlineStr">
        <is>
          <t>그렇지 않다</t>
        </is>
      </c>
      <c r="Q4" t="inlineStr">
        <is>
          <t>그렇지 않다</t>
        </is>
      </c>
      <c r="R4" t="inlineStr">
        <is>
          <t>그렇지 않다</t>
        </is>
      </c>
      <c r="S4" t="inlineStr">
        <is>
          <t>그렇지 않다</t>
        </is>
      </c>
      <c r="T4" t="inlineStr">
        <is>
          <t>그렇지 않다</t>
        </is>
      </c>
      <c r="U4" t="inlineStr">
        <is>
          <t>(일반)</t>
        </is>
      </c>
    </row>
    <row r="5">
      <c r="A5" t="n">
        <v>3</v>
      </c>
      <c r="B5" t="inlineStr">
        <is>
          <t>초등학교</t>
        </is>
      </c>
      <c r="C5" t="inlineStr">
        <is>
          <t>월수</t>
        </is>
      </c>
      <c r="D5" t="inlineStr">
        <is>
          <t>1 회</t>
        </is>
      </c>
      <c r="E5" t="inlineStr">
        <is>
          <t>권율</t>
        </is>
      </c>
      <c r="F5" t="inlineStr">
        <is>
          <t>wookkang11</t>
        </is>
      </c>
      <c r="G5" t="inlineStr">
        <is>
          <t>남</t>
        </is>
      </c>
      <c r="H5" t="inlineStr">
        <is>
          <t>포항장원초등학교</t>
        </is>
      </c>
      <c r="I5" t="n">
        <v>4</v>
      </c>
      <c r="J5" t="inlineStr">
        <is>
          <t>010-3924-0307</t>
        </is>
      </c>
      <c r="K5" t="inlineStr">
        <is>
          <t>이은영</t>
        </is>
      </c>
      <c r="L5" t="inlineStr">
        <is>
          <t>010-3924-0307</t>
        </is>
      </c>
      <c r="M5" t="inlineStr">
        <is>
          <t>[37577  ] 경북 포항시 북구 침촌지구로 10 (장성동, 장성 푸르지오)109동2505호</t>
        </is>
      </c>
      <c r="N5" t="inlineStr">
        <is>
          <t>그렇지 않다</t>
        </is>
      </c>
      <c r="O5" t="inlineStr">
        <is>
          <t>전혀 그렇지 않다</t>
        </is>
      </c>
      <c r="P5" t="inlineStr">
        <is>
          <t>전혀 그렇지 않다</t>
        </is>
      </c>
      <c r="Q5" t="inlineStr">
        <is>
          <t>전혀 그렇지 않다</t>
        </is>
      </c>
      <c r="R5" t="inlineStr">
        <is>
          <t>전혀 그렇지 않다</t>
        </is>
      </c>
      <c r="S5" t="inlineStr">
        <is>
          <t>전혀 그렇지 않다</t>
        </is>
      </c>
      <c r="T5" t="inlineStr">
        <is>
          <t>전혀 그렇지 않다</t>
        </is>
      </c>
      <c r="U5" t="inlineStr">
        <is>
          <t>(일반)</t>
        </is>
      </c>
    </row>
    <row r="6">
      <c r="A6" t="n">
        <v>4</v>
      </c>
      <c r="B6" t="inlineStr">
        <is>
          <t>초등학교</t>
        </is>
      </c>
      <c r="C6" t="inlineStr">
        <is>
          <t>월수</t>
        </is>
      </c>
      <c r="D6" t="inlineStr">
        <is>
          <t>1 회</t>
        </is>
      </c>
      <c r="E6" t="inlineStr">
        <is>
          <t>방승현</t>
        </is>
      </c>
      <c r="F6" t="inlineStr">
        <is>
          <t>sh0701</t>
        </is>
      </c>
      <c r="G6" t="inlineStr">
        <is>
          <t>남</t>
        </is>
      </c>
      <c r="H6" t="inlineStr">
        <is>
          <t>포항장원초등학교</t>
        </is>
      </c>
      <c r="I6" t="n">
        <v>4</v>
      </c>
      <c r="J6" t="inlineStr">
        <is>
          <t>010-8878-3329</t>
        </is>
      </c>
      <c r="K6" t="inlineStr">
        <is>
          <t>방지훈</t>
        </is>
      </c>
      <c r="L6" t="inlineStr">
        <is>
          <t>010-8878-3329</t>
        </is>
      </c>
      <c r="M6" t="inlineStr">
        <is>
          <t>[37577  ] 경북 포항시 북구 침촌지구로 10 (장성동, 장성 푸르지오)109동2801호</t>
        </is>
      </c>
      <c r="N6" t="inlineStr">
        <is>
          <t>보통이다</t>
        </is>
      </c>
      <c r="O6" t="inlineStr">
        <is>
          <t>그렇지 않다</t>
        </is>
      </c>
      <c r="P6" t="inlineStr">
        <is>
          <t>그렇지 않다</t>
        </is>
      </c>
      <c r="Q6" t="inlineStr">
        <is>
          <t>그렇지 않다</t>
        </is>
      </c>
      <c r="R6" t="inlineStr">
        <is>
          <t>그렇지 않다</t>
        </is>
      </c>
      <c r="S6" t="inlineStr">
        <is>
          <t>그렇지 않다</t>
        </is>
      </c>
      <c r="T6" t="inlineStr">
        <is>
          <t>그렇지 않다</t>
        </is>
      </c>
      <c r="U6" t="inlineStr">
        <is>
          <t>(일반)</t>
        </is>
      </c>
    </row>
    <row r="7">
      <c r="A7" t="n">
        <v>5</v>
      </c>
      <c r="B7" t="inlineStr">
        <is>
          <t>초등학교</t>
        </is>
      </c>
      <c r="C7" t="inlineStr">
        <is>
          <t>화목</t>
        </is>
      </c>
      <c r="D7" t="inlineStr">
        <is>
          <t>1 회</t>
        </is>
      </c>
      <c r="E7" t="inlineStr">
        <is>
          <t>정인준</t>
        </is>
      </c>
      <c r="F7" t="inlineStr">
        <is>
          <t>fjqm0722</t>
        </is>
      </c>
      <c r="G7" t="inlineStr">
        <is>
          <t>남</t>
        </is>
      </c>
      <c r="H7" t="inlineStr">
        <is>
          <t>초곡초등학교</t>
        </is>
      </c>
      <c r="I7" t="n">
        <v>4</v>
      </c>
      <c r="J7" t="inlineStr">
        <is>
          <t>010-9605-1522</t>
        </is>
      </c>
      <c r="K7" t="inlineStr">
        <is>
          <t>신원정</t>
        </is>
      </c>
      <c r="L7" t="inlineStr">
        <is>
          <t>010-9605-1522</t>
        </is>
      </c>
      <c r="M7" t="inlineStr">
        <is>
          <t>[37560  ] 경북 포항시 북구 흥해읍 초곡지구로58번길 65-9 (초곡리, 초곡리슈빌)106동102호</t>
        </is>
      </c>
      <c r="N7" t="inlineStr">
        <is>
          <t>보통이다</t>
        </is>
      </c>
      <c r="O7" t="inlineStr">
        <is>
          <t>보통이다</t>
        </is>
      </c>
      <c r="P7" t="inlineStr">
        <is>
          <t>보통이다</t>
        </is>
      </c>
      <c r="Q7" t="inlineStr">
        <is>
          <t>보통이다</t>
        </is>
      </c>
      <c r="R7" t="inlineStr">
        <is>
          <t>보통이다</t>
        </is>
      </c>
      <c r="S7" t="inlineStr">
        <is>
          <t>보통이다</t>
        </is>
      </c>
      <c r="T7" t="inlineStr">
        <is>
          <t>보통이다</t>
        </is>
      </c>
      <c r="U7" t="inlineStr">
        <is>
          <t>(일반)</t>
        </is>
      </c>
    </row>
    <row r="8">
      <c r="A8" t="n">
        <v>6</v>
      </c>
      <c r="B8" t="inlineStr">
        <is>
          <t>초등학교</t>
        </is>
      </c>
      <c r="C8" t="inlineStr">
        <is>
          <t>월수</t>
        </is>
      </c>
      <c r="D8" t="inlineStr">
        <is>
          <t>1 회</t>
        </is>
      </c>
      <c r="E8" t="inlineStr">
        <is>
          <t>김나연</t>
        </is>
      </c>
      <c r="F8" t="inlineStr">
        <is>
          <t>kny18</t>
        </is>
      </c>
      <c r="G8" t="inlineStr">
        <is>
          <t>여</t>
        </is>
      </c>
      <c r="H8" t="inlineStr">
        <is>
          <t>청림초등학교</t>
        </is>
      </c>
      <c r="I8" t="n">
        <v>4</v>
      </c>
      <c r="J8" t="inlineStr">
        <is>
          <t>010-8021-7242</t>
        </is>
      </c>
      <c r="K8" t="inlineStr">
        <is>
          <t>정복례</t>
        </is>
      </c>
      <c r="L8" t="inlineStr">
        <is>
          <t>010-2649-7242</t>
        </is>
      </c>
      <c r="M8" t="inlineStr">
        <is>
          <t>[37899  ] 경북 포항시 남구 정몽주로861번길 4 (청림동, 지베아트빌)2동 402호</t>
        </is>
      </c>
      <c r="N8" t="inlineStr">
        <is>
          <t>보통이다</t>
        </is>
      </c>
      <c r="O8" t="inlineStr">
        <is>
          <t>그렇다</t>
        </is>
      </c>
      <c r="P8" t="inlineStr">
        <is>
          <t>그렇다</t>
        </is>
      </c>
      <c r="Q8" t="inlineStr">
        <is>
          <t>보통이다</t>
        </is>
      </c>
      <c r="R8" t="inlineStr">
        <is>
          <t>그렇지 않다</t>
        </is>
      </c>
      <c r="S8" t="inlineStr">
        <is>
          <t>그렇다</t>
        </is>
      </c>
      <c r="T8" t="inlineStr">
        <is>
          <t>그렇다</t>
        </is>
      </c>
      <c r="U8" t="inlineStr">
        <is>
          <t>(신청)</t>
        </is>
      </c>
    </row>
    <row r="9">
      <c r="A9" t="n">
        <v>7</v>
      </c>
      <c r="B9" t="inlineStr">
        <is>
          <t>초등학교</t>
        </is>
      </c>
      <c r="C9" t="inlineStr">
        <is>
          <t>화목</t>
        </is>
      </c>
      <c r="D9" t="inlineStr">
        <is>
          <t>1 회</t>
        </is>
      </c>
      <c r="E9" t="inlineStr">
        <is>
          <t>서예림</t>
        </is>
      </c>
      <c r="F9" t="inlineStr">
        <is>
          <t>erim0531</t>
        </is>
      </c>
      <c r="G9" t="inlineStr">
        <is>
          <t>여</t>
        </is>
      </c>
      <c r="H9" t="inlineStr">
        <is>
          <t>포항용산초등학교</t>
        </is>
      </c>
      <c r="I9" t="n">
        <v>4</v>
      </c>
      <c r="J9" t="inlineStr">
        <is>
          <t>010-9372-3143</t>
        </is>
      </c>
      <c r="K9" t="inlineStr">
        <is>
          <t>한주영</t>
        </is>
      </c>
      <c r="L9" t="inlineStr">
        <is>
          <t>010-9372-3143</t>
        </is>
      </c>
      <c r="M9" t="inlineStr">
        <is>
          <t>[37917  ] 경북 포항시 남구 오천읍 해병로489번길 9 (문덕리, 신문덕코아루 아파트)102동1702호</t>
        </is>
      </c>
      <c r="N9" t="inlineStr">
        <is>
          <t>보통이다</t>
        </is>
      </c>
      <c r="O9" t="inlineStr">
        <is>
          <t>매우 그렇다</t>
        </is>
      </c>
      <c r="P9" t="inlineStr">
        <is>
          <t>그렇다</t>
        </is>
      </c>
      <c r="Q9" t="inlineStr">
        <is>
          <t>보통이다</t>
        </is>
      </c>
      <c r="R9" t="inlineStr">
        <is>
          <t>그렇지 않다</t>
        </is>
      </c>
      <c r="S9" t="inlineStr">
        <is>
          <t>매우 그렇다</t>
        </is>
      </c>
      <c r="T9" t="inlineStr">
        <is>
          <t>보통이다</t>
        </is>
      </c>
      <c r="U9" t="inlineStr">
        <is>
          <t>(일반)</t>
        </is>
      </c>
    </row>
    <row r="10">
      <c r="A10" t="n">
        <v>8</v>
      </c>
      <c r="B10" t="inlineStr">
        <is>
          <t>초등학교</t>
        </is>
      </c>
      <c r="C10" t="inlineStr">
        <is>
          <t>월수</t>
        </is>
      </c>
      <c r="D10" t="inlineStr">
        <is>
          <t>1 회</t>
        </is>
      </c>
      <c r="E10" t="inlineStr">
        <is>
          <t>김동현</t>
        </is>
      </c>
      <c r="F10" t="inlineStr">
        <is>
          <t>dong0610</t>
        </is>
      </c>
      <c r="G10" t="inlineStr">
        <is>
          <t>남</t>
        </is>
      </c>
      <c r="H10" t="inlineStr">
        <is>
          <t>포항용산초등학교</t>
        </is>
      </c>
      <c r="I10" t="n">
        <v>4</v>
      </c>
      <c r="J10" t="inlineStr">
        <is>
          <t>010-2304-0217</t>
        </is>
      </c>
      <c r="K10" t="inlineStr">
        <is>
          <t>이정아</t>
        </is>
      </c>
      <c r="L10" t="inlineStr">
        <is>
          <t>010-2304-0217</t>
        </is>
      </c>
      <c r="M10" t="inlineStr">
        <is>
          <t>[37917  ] 경북 포항시 남구 오천읍 해병로559번길 7 (용산리, 포항아이파크)103동 1301호</t>
        </is>
      </c>
      <c r="N10" t="inlineStr">
        <is>
          <t>보통이다</t>
        </is>
      </c>
      <c r="O10" t="inlineStr">
        <is>
          <t>그렇지 않다</t>
        </is>
      </c>
      <c r="P10" t="inlineStr">
        <is>
          <t>그렇지 않다</t>
        </is>
      </c>
      <c r="Q10" t="inlineStr">
        <is>
          <t>그렇지 않다</t>
        </is>
      </c>
      <c r="R10" t="inlineStr">
        <is>
          <t>그렇지 않다</t>
        </is>
      </c>
      <c r="S10" t="inlineStr">
        <is>
          <t>그렇지 않다</t>
        </is>
      </c>
      <c r="T10" t="inlineStr">
        <is>
          <t>그렇지 않다</t>
        </is>
      </c>
      <c r="U10" t="inlineStr">
        <is>
          <t>(일반)</t>
        </is>
      </c>
    </row>
    <row r="11">
      <c r="A11" t="n">
        <v>9</v>
      </c>
      <c r="B11" t="inlineStr">
        <is>
          <t>초등학교</t>
        </is>
      </c>
      <c r="C11" t="inlineStr">
        <is>
          <t>화목</t>
        </is>
      </c>
      <c r="D11" t="inlineStr">
        <is>
          <t>2 회</t>
        </is>
      </c>
      <c r="E11" t="inlineStr">
        <is>
          <t>최영헌</t>
        </is>
      </c>
      <c r="F11" t="inlineStr">
        <is>
          <t>woomong</t>
        </is>
      </c>
      <c r="G11" t="inlineStr">
        <is>
          <t>남</t>
        </is>
      </c>
      <c r="H11" t="inlineStr">
        <is>
          <t>문덕초등학교</t>
        </is>
      </c>
      <c r="I11" t="n">
        <v>6</v>
      </c>
      <c r="J11" t="inlineStr">
        <is>
          <t>010-3652-7466</t>
        </is>
      </c>
      <c r="K11" t="inlineStr">
        <is>
          <t>강민옥</t>
        </is>
      </c>
      <c r="L11" t="inlineStr">
        <is>
          <t>010-3635-7466</t>
        </is>
      </c>
      <c r="M11" t="inlineStr">
        <is>
          <t>[37917  ] 경북 포항시 남구 오천읍 해병로 451 (문덕리, 오천웰메이드홈)102동 902호</t>
        </is>
      </c>
      <c r="N11" t="inlineStr">
        <is>
          <t>그렇다</t>
        </is>
      </c>
      <c r="O11" t="inlineStr">
        <is>
          <t>그렇다</t>
        </is>
      </c>
      <c r="P11" t="inlineStr">
        <is>
          <t>그렇다</t>
        </is>
      </c>
      <c r="Q11" t="inlineStr">
        <is>
          <t>그렇다</t>
        </is>
      </c>
      <c r="R11" t="inlineStr">
        <is>
          <t>전혀 그렇지 않다</t>
        </is>
      </c>
      <c r="S11" t="inlineStr">
        <is>
          <t>그렇다</t>
        </is>
      </c>
      <c r="T11" t="inlineStr">
        <is>
          <t>그렇다</t>
        </is>
      </c>
      <c r="U11" t="inlineStr">
        <is>
          <t>(일반)</t>
        </is>
      </c>
    </row>
    <row r="12">
      <c r="A12" t="n">
        <v>10</v>
      </c>
      <c r="B12" t="inlineStr">
        <is>
          <t>초등학교</t>
        </is>
      </c>
      <c r="C12" t="inlineStr">
        <is>
          <t>화목</t>
        </is>
      </c>
      <c r="D12" t="inlineStr">
        <is>
          <t>1 회</t>
        </is>
      </c>
      <c r="E12" t="inlineStr">
        <is>
          <t>정도균</t>
        </is>
      </c>
      <c r="F12" t="inlineStr">
        <is>
          <t>jdg1512</t>
        </is>
      </c>
      <c r="G12" t="inlineStr">
        <is>
          <t>남</t>
        </is>
      </c>
      <c r="H12" t="inlineStr">
        <is>
          <t>장량초등학교</t>
        </is>
      </c>
      <c r="I12" t="n">
        <v>5</v>
      </c>
      <c r="J12" t="inlineStr">
        <is>
          <t>010-3349-0080</t>
        </is>
      </c>
      <c r="K12" t="inlineStr">
        <is>
          <t>정순옥</t>
        </is>
      </c>
      <c r="L12" t="inlineStr">
        <is>
          <t>010-3349-0080</t>
        </is>
      </c>
      <c r="M12" t="inlineStr">
        <is>
          <t>[37608  ] 경북 포항시 북구 삼흥로100번길 24 (두호동, 천호타운)101동1211호</t>
        </is>
      </c>
      <c r="N12" t="inlineStr">
        <is>
          <t>전혀 그렇지 않다</t>
        </is>
      </c>
      <c r="O12" t="inlineStr">
        <is>
          <t>보통이다</t>
        </is>
      </c>
      <c r="P12" t="inlineStr">
        <is>
          <t>그렇다</t>
        </is>
      </c>
      <c r="Q12" t="inlineStr">
        <is>
          <t>전혀 그렇지 않다</t>
        </is>
      </c>
      <c r="R12" t="inlineStr">
        <is>
          <t>전혀 그렇지 않다</t>
        </is>
      </c>
      <c r="S12" t="inlineStr">
        <is>
          <t>전혀 그렇지 않다</t>
        </is>
      </c>
      <c r="T12" t="inlineStr">
        <is>
          <t>그렇지 않다</t>
        </is>
      </c>
      <c r="U12" t="inlineStr">
        <is>
          <t>(신청)</t>
        </is>
      </c>
    </row>
    <row r="13">
      <c r="A13" t="n">
        <v>11</v>
      </c>
      <c r="B13" t="inlineStr">
        <is>
          <t>초등학교</t>
        </is>
      </c>
      <c r="C13" t="inlineStr">
        <is>
          <t>월수</t>
        </is>
      </c>
      <c r="D13" t="inlineStr">
        <is>
          <t>1 회</t>
        </is>
      </c>
      <c r="E13" t="inlineStr">
        <is>
          <t>이해나</t>
        </is>
      </c>
      <c r="F13" t="inlineStr">
        <is>
          <t>turkeylover</t>
        </is>
      </c>
      <c r="G13" t="inlineStr">
        <is>
          <t>여</t>
        </is>
      </c>
      <c r="H13" t="inlineStr">
        <is>
          <t>포항남부초등학교</t>
        </is>
      </c>
      <c r="I13" t="n">
        <v>4</v>
      </c>
      <c r="J13" t="inlineStr">
        <is>
          <t>010-4840-0462</t>
        </is>
      </c>
      <c r="K13" t="inlineStr">
        <is>
          <t>김소영</t>
        </is>
      </c>
      <c r="L13" t="inlineStr">
        <is>
          <t>010-4840-0462</t>
        </is>
      </c>
      <c r="M13" t="inlineStr">
        <is>
          <t>[37689  ] 경북 포항시 북구 새천년대로631번길 14 (용흥동, 양학산KCC스위첸)101-201</t>
        </is>
      </c>
      <c r="N13" t="inlineStr">
        <is>
          <t>그렇지 않다</t>
        </is>
      </c>
      <c r="O13" t="inlineStr">
        <is>
          <t>그렇지 않다</t>
        </is>
      </c>
      <c r="P13" t="inlineStr">
        <is>
          <t>그렇지 않다</t>
        </is>
      </c>
      <c r="Q13" t="inlineStr">
        <is>
          <t>그렇지 않다</t>
        </is>
      </c>
      <c r="R13" t="inlineStr">
        <is>
          <t>그렇지 않다</t>
        </is>
      </c>
      <c r="S13" t="inlineStr">
        <is>
          <t>그렇지 않다</t>
        </is>
      </c>
      <c r="T13" t="inlineStr">
        <is>
          <t>그렇지 않다</t>
        </is>
      </c>
      <c r="U13" t="inlineStr">
        <is>
          <t>(신청)</t>
        </is>
      </c>
    </row>
    <row r="14">
      <c r="A14" t="n">
        <v>12</v>
      </c>
      <c r="B14" t="inlineStr">
        <is>
          <t>초등학교</t>
        </is>
      </c>
      <c r="C14" t="inlineStr">
        <is>
          <t>화목</t>
        </is>
      </c>
      <c r="D14" t="inlineStr">
        <is>
          <t>1 회</t>
        </is>
      </c>
      <c r="E14" t="inlineStr">
        <is>
          <t>전드림</t>
        </is>
      </c>
      <c r="F14" t="inlineStr">
        <is>
          <t>dream</t>
        </is>
      </c>
      <c r="G14" t="inlineStr">
        <is>
          <t>남</t>
        </is>
      </c>
      <c r="H14" t="inlineStr">
        <is>
          <t>두호초등학교</t>
        </is>
      </c>
      <c r="I14" t="n">
        <v>4</v>
      </c>
      <c r="J14" t="inlineStr">
        <is>
          <t>010-4580-2504</t>
        </is>
      </c>
      <c r="K14" t="inlineStr">
        <is>
          <t>김아람</t>
        </is>
      </c>
      <c r="L14" t="inlineStr">
        <is>
          <t>010-4580-2504</t>
        </is>
      </c>
      <c r="M14" t="inlineStr">
        <is>
          <t>[37627  ] 경북 포항시 북구 우창로 164 (창포동, 창포메트로시티1단지)101-1203</t>
        </is>
      </c>
      <c r="N14" t="inlineStr">
        <is>
          <t>그렇지 않다</t>
        </is>
      </c>
      <c r="O14" t="inlineStr">
        <is>
          <t>그렇다</t>
        </is>
      </c>
      <c r="P14" t="inlineStr">
        <is>
          <t>그렇다</t>
        </is>
      </c>
      <c r="Q14" t="inlineStr">
        <is>
          <t>그렇다</t>
        </is>
      </c>
      <c r="R14" t="inlineStr">
        <is>
          <t>보통이다</t>
        </is>
      </c>
      <c r="S14" t="inlineStr">
        <is>
          <t>그렇지 않다</t>
        </is>
      </c>
      <c r="T14" t="inlineStr">
        <is>
          <t>그렇다</t>
        </is>
      </c>
      <c r="U14" t="inlineStr">
        <is>
          <t>(일반)</t>
        </is>
      </c>
    </row>
    <row r="15">
      <c r="A15" t="n">
        <v>13</v>
      </c>
      <c r="B15" t="inlineStr">
        <is>
          <t>초등학교</t>
        </is>
      </c>
      <c r="C15" t="inlineStr">
        <is>
          <t>월수</t>
        </is>
      </c>
      <c r="D15" t="inlineStr">
        <is>
          <t>1 회</t>
        </is>
      </c>
      <c r="E15" t="inlineStr">
        <is>
          <t>박서준</t>
        </is>
      </c>
      <c r="F15" t="inlineStr">
        <is>
          <t>henry0712</t>
        </is>
      </c>
      <c r="G15" t="inlineStr">
        <is>
          <t>남</t>
        </is>
      </c>
      <c r="H15" t="inlineStr">
        <is>
          <t>포항제철지곡초등학교</t>
        </is>
      </c>
      <c r="I15" t="n">
        <v>4</v>
      </c>
      <c r="J15" t="inlineStr">
        <is>
          <t>010-8856-5739</t>
        </is>
      </c>
      <c r="K15" t="inlineStr">
        <is>
          <t>김태림</t>
        </is>
      </c>
      <c r="L15" t="inlineStr">
        <is>
          <t>010-8856-5739</t>
        </is>
      </c>
      <c r="M15" t="inlineStr">
        <is>
          <t>[37669  ] 경북 포항시 남구 지곡로 294 (지곡동, 효자그린아파트)218동 1303호</t>
        </is>
      </c>
      <c r="N15" t="inlineStr">
        <is>
          <t>전혀 그렇지 않다</t>
        </is>
      </c>
      <c r="O15" t="inlineStr">
        <is>
          <t>전혀 그렇지 않다</t>
        </is>
      </c>
      <c r="P15" t="inlineStr">
        <is>
          <t>전혀 그렇지 않다</t>
        </is>
      </c>
      <c r="Q15" t="inlineStr">
        <is>
          <t>전혀 그렇지 않다</t>
        </is>
      </c>
      <c r="R15" t="inlineStr">
        <is>
          <t>전혀 그렇지 않다</t>
        </is>
      </c>
      <c r="S15" t="inlineStr">
        <is>
          <t>전혀 그렇지 않다</t>
        </is>
      </c>
      <c r="T15" t="inlineStr">
        <is>
          <t>전혀 그렇지 않다</t>
        </is>
      </c>
      <c r="U15" t="inlineStr">
        <is>
          <t>(일반)</t>
        </is>
      </c>
    </row>
    <row r="16">
      <c r="A16" t="n">
        <v>14</v>
      </c>
      <c r="B16" t="inlineStr">
        <is>
          <t>초등학교</t>
        </is>
      </c>
      <c r="C16" t="inlineStr">
        <is>
          <t>월수</t>
        </is>
      </c>
      <c r="D16" t="inlineStr">
        <is>
          <t>1 회</t>
        </is>
      </c>
      <c r="E16" t="inlineStr">
        <is>
          <t>최시원</t>
        </is>
      </c>
      <c r="F16" t="inlineStr">
        <is>
          <t>a00aa</t>
        </is>
      </c>
      <c r="G16" t="inlineStr">
        <is>
          <t>남</t>
        </is>
      </c>
      <c r="H16" t="inlineStr">
        <is>
          <t>포항용산초등학교</t>
        </is>
      </c>
      <c r="I16" t="n">
        <v>4</v>
      </c>
      <c r="J16" t="inlineStr">
        <is>
          <t>010-2662-2292</t>
        </is>
      </c>
      <c r="K16" t="inlineStr">
        <is>
          <t>김지원</t>
        </is>
      </c>
      <c r="L16" t="inlineStr">
        <is>
          <t>010-3757-0030</t>
        </is>
      </c>
      <c r="M16" t="inlineStr">
        <is>
          <t>[37917  ] 경북 포항시 남구 오천읍 해병로559번길 7 (용산리, 포항아이파크)105동 2801호</t>
        </is>
      </c>
      <c r="N16" t="inlineStr">
        <is>
          <t>보통이다</t>
        </is>
      </c>
      <c r="O16" t="inlineStr">
        <is>
          <t>그렇다</t>
        </is>
      </c>
      <c r="P16" t="inlineStr">
        <is>
          <t>그렇다</t>
        </is>
      </c>
      <c r="Q16" t="inlineStr">
        <is>
          <t>그렇다</t>
        </is>
      </c>
      <c r="R16" t="inlineStr">
        <is>
          <t>전혀 그렇지 않다</t>
        </is>
      </c>
      <c r="S16" t="inlineStr">
        <is>
          <t>전혀 그렇지 않다</t>
        </is>
      </c>
      <c r="T16" t="inlineStr">
        <is>
          <t>그렇다</t>
        </is>
      </c>
      <c r="U16" t="inlineStr">
        <is>
          <t>(일반)</t>
        </is>
      </c>
    </row>
    <row r="17">
      <c r="A17" t="n">
        <v>15</v>
      </c>
      <c r="B17" t="inlineStr">
        <is>
          <t>초등학교</t>
        </is>
      </c>
      <c r="C17" t="inlineStr">
        <is>
          <t>월수</t>
        </is>
      </c>
      <c r="D17" t="inlineStr">
        <is>
          <t>1 회</t>
        </is>
      </c>
      <c r="E17" t="inlineStr">
        <is>
          <t>함수정</t>
        </is>
      </c>
      <c r="F17" t="inlineStr">
        <is>
          <t>foreversj9092</t>
        </is>
      </c>
      <c r="G17" t="inlineStr">
        <is>
          <t>여</t>
        </is>
      </c>
      <c r="H17" t="inlineStr">
        <is>
          <t>포항제철지곡초등학교</t>
        </is>
      </c>
      <c r="I17" t="n">
        <v>5</v>
      </c>
      <c r="J17" t="inlineStr">
        <is>
          <t>010-5442-9092</t>
        </is>
      </c>
      <c r="K17" t="inlineStr">
        <is>
          <t>남진주</t>
        </is>
      </c>
      <c r="L17" t="inlineStr">
        <is>
          <t>010-5442-9092</t>
        </is>
      </c>
      <c r="M17" t="inlineStr">
        <is>
          <t>[37669  ] 경북 포항시 남구 지곡로 294 (지곡동, 효자그린아파트)효자그린2차 230동 204호</t>
        </is>
      </c>
      <c r="N17" t="inlineStr">
        <is>
          <t>그렇다</t>
        </is>
      </c>
      <c r="O17" t="inlineStr">
        <is>
          <t>매우 그렇다</t>
        </is>
      </c>
      <c r="P17" t="inlineStr">
        <is>
          <t>매우 그렇다</t>
        </is>
      </c>
      <c r="Q17" t="inlineStr">
        <is>
          <t>그렇다</t>
        </is>
      </c>
      <c r="R17" t="inlineStr">
        <is>
          <t>매우 그렇다</t>
        </is>
      </c>
      <c r="S17" t="inlineStr">
        <is>
          <t>매우 그렇다</t>
        </is>
      </c>
      <c r="T17" t="inlineStr">
        <is>
          <t>그렇다</t>
        </is>
      </c>
      <c r="U17" t="inlineStr">
        <is>
          <t>(일반)</t>
        </is>
      </c>
    </row>
    <row r="18">
      <c r="A18" t="n">
        <v>16</v>
      </c>
      <c r="B18" t="inlineStr">
        <is>
          <t>초등학교</t>
        </is>
      </c>
      <c r="C18" t="inlineStr">
        <is>
          <t>월수</t>
        </is>
      </c>
      <c r="D18" t="inlineStr">
        <is>
          <t>1 회</t>
        </is>
      </c>
      <c r="E18" t="inlineStr">
        <is>
          <t>천민관</t>
        </is>
      </c>
      <c r="F18" t="inlineStr">
        <is>
          <t>orangebongbong</t>
        </is>
      </c>
      <c r="G18" t="inlineStr">
        <is>
          <t>남</t>
        </is>
      </c>
      <c r="H18" t="inlineStr">
        <is>
          <t>포항용산초등학교</t>
        </is>
      </c>
      <c r="I18" t="n">
        <v>4</v>
      </c>
      <c r="J18" t="inlineStr">
        <is>
          <t>010-9614-4270</t>
        </is>
      </c>
      <c r="K18" t="inlineStr">
        <is>
          <t>이묘선</t>
        </is>
      </c>
      <c r="L18" t="inlineStr">
        <is>
          <t>010-8997-6941</t>
        </is>
      </c>
      <c r="M18" t="inlineStr">
        <is>
          <t>[37917  ] 경북 포항시 남구 오천읍 해병로489번길 9 (문덕리, 신문덕코아루 아파트)106동 1804호</t>
        </is>
      </c>
      <c r="N18" t="inlineStr">
        <is>
          <t>매우 그렇다</t>
        </is>
      </c>
      <c r="O18" t="inlineStr">
        <is>
          <t>매우 그렇다</t>
        </is>
      </c>
      <c r="P18" t="inlineStr">
        <is>
          <t>매우 그렇다</t>
        </is>
      </c>
      <c r="Q18" t="inlineStr">
        <is>
          <t>매우 그렇다</t>
        </is>
      </c>
      <c r="R18" t="inlineStr">
        <is>
          <t>전혀 그렇지 않다</t>
        </is>
      </c>
      <c r="S18" t="inlineStr">
        <is>
          <t>보통이다</t>
        </is>
      </c>
      <c r="T18" t="inlineStr">
        <is>
          <t>보통이다</t>
        </is>
      </c>
      <c r="U18" t="inlineStr">
        <is>
          <t>(일반)</t>
        </is>
      </c>
    </row>
    <row r="19">
      <c r="A19" t="n">
        <v>17</v>
      </c>
      <c r="B19" t="inlineStr">
        <is>
          <t>초등학교</t>
        </is>
      </c>
      <c r="C19" t="inlineStr">
        <is>
          <t>월수</t>
        </is>
      </c>
      <c r="D19" t="inlineStr">
        <is>
          <t>4 회</t>
        </is>
      </c>
      <c r="E19" t="inlineStr">
        <is>
          <t>천수인</t>
        </is>
      </c>
      <c r="F19" t="inlineStr">
        <is>
          <t>csi0630</t>
        </is>
      </c>
      <c r="G19" t="inlineStr">
        <is>
          <t>남</t>
        </is>
      </c>
      <c r="H19" t="inlineStr">
        <is>
          <t>초곡초등학교</t>
        </is>
      </c>
      <c r="I19" t="n">
        <v>5</v>
      </c>
      <c r="J19" t="inlineStr">
        <is>
          <t>010-9361-6633</t>
        </is>
      </c>
      <c r="K19" t="inlineStr">
        <is>
          <t>강남이</t>
        </is>
      </c>
      <c r="L19" t="inlineStr">
        <is>
          <t>010-9361-6633</t>
        </is>
      </c>
      <c r="M19" t="inlineStr">
        <is>
          <t>[37560  ] 경북 포항시 북구 흥해읍 초곡지구로 102 (초곡리, 포항초곡지엔하임)106동 905호</t>
        </is>
      </c>
      <c r="N19" t="inlineStr">
        <is>
          <t>그렇다</t>
        </is>
      </c>
      <c r="O19" t="inlineStr">
        <is>
          <t>매우 그렇다</t>
        </is>
      </c>
      <c r="P19" t="inlineStr">
        <is>
          <t>매우 그렇다</t>
        </is>
      </c>
      <c r="Q19" t="inlineStr">
        <is>
          <t>매우 그렇다</t>
        </is>
      </c>
      <c r="R19" t="inlineStr">
        <is>
          <t>그렇다</t>
        </is>
      </c>
      <c r="S19" t="inlineStr">
        <is>
          <t>보통이다</t>
        </is>
      </c>
      <c r="T19" t="inlineStr">
        <is>
          <t>그렇다</t>
        </is>
      </c>
      <c r="U19" t="inlineStr">
        <is>
          <t>(신청)</t>
        </is>
      </c>
    </row>
    <row r="20">
      <c r="A20" t="n">
        <v>18</v>
      </c>
      <c r="B20" t="inlineStr">
        <is>
          <t>초등학교</t>
        </is>
      </c>
      <c r="C20" t="inlineStr">
        <is>
          <t>화목</t>
        </is>
      </c>
      <c r="D20" t="inlineStr">
        <is>
          <t>1 회</t>
        </is>
      </c>
      <c r="E20" t="inlineStr">
        <is>
          <t>김지우</t>
        </is>
      </c>
      <c r="F20" t="inlineStr">
        <is>
          <t>feelgood25</t>
        </is>
      </c>
      <c r="G20" t="inlineStr">
        <is>
          <t>여</t>
        </is>
      </c>
      <c r="H20" t="inlineStr">
        <is>
          <t>이동초등학교</t>
        </is>
      </c>
      <c r="I20" t="n">
        <v>5</v>
      </c>
      <c r="J20" t="inlineStr">
        <is>
          <t>010-2542-5635</t>
        </is>
      </c>
      <c r="K20" t="inlineStr">
        <is>
          <t>채명진</t>
        </is>
      </c>
      <c r="L20" t="inlineStr">
        <is>
          <t>010-2542-5635</t>
        </is>
      </c>
      <c r="M20" t="inlineStr">
        <is>
          <t>[37693  ] 경북 포항시 북구 이동로 48-11 (득량동, 이동삼성아파트)110동1603호</t>
        </is>
      </c>
      <c r="N20" t="inlineStr">
        <is>
          <t>그렇다</t>
        </is>
      </c>
      <c r="O20" t="inlineStr">
        <is>
          <t>보통이다</t>
        </is>
      </c>
      <c r="P20" t="inlineStr">
        <is>
          <t>그렇지 않다</t>
        </is>
      </c>
      <c r="Q20" t="inlineStr">
        <is>
          <t>그렇지 않다</t>
        </is>
      </c>
      <c r="R20" t="inlineStr">
        <is>
          <t>그렇지 않다</t>
        </is>
      </c>
      <c r="S20" t="inlineStr">
        <is>
          <t>그렇지 않다</t>
        </is>
      </c>
      <c r="T20" t="inlineStr">
        <is>
          <t>그렇지 않다</t>
        </is>
      </c>
      <c r="U20" t="inlineStr">
        <is>
          <t>(일반)</t>
        </is>
      </c>
    </row>
    <row r="21">
      <c r="A21" t="n">
        <v>19</v>
      </c>
      <c r="B21" t="inlineStr">
        <is>
          <t>초등학교</t>
        </is>
      </c>
      <c r="C21" t="inlineStr">
        <is>
          <t>화목</t>
        </is>
      </c>
      <c r="D21" t="inlineStr">
        <is>
          <t>4 회</t>
        </is>
      </c>
      <c r="E21" t="inlineStr">
        <is>
          <t>김지안</t>
        </is>
      </c>
      <c r="F21" t="inlineStr">
        <is>
          <t>kimluna0759</t>
        </is>
      </c>
      <c r="G21" t="inlineStr">
        <is>
          <t>여</t>
        </is>
      </c>
      <c r="H21" t="inlineStr">
        <is>
          <t>이동초등학교</t>
        </is>
      </c>
      <c r="I21" t="n">
        <v>5</v>
      </c>
      <c r="J21" t="inlineStr">
        <is>
          <t>010-8563-2850</t>
        </is>
      </c>
      <c r="K21" t="inlineStr">
        <is>
          <t>김민진</t>
        </is>
      </c>
      <c r="L21" t="inlineStr">
        <is>
          <t>010-8563-2850</t>
        </is>
      </c>
      <c r="M21" t="inlineStr">
        <is>
          <t>[37680  ] 경북 포항시 남구 대이로 100 (대잠동, 이동현대홈타운)106동 1306호</t>
        </is>
      </c>
      <c r="N21" t="inlineStr">
        <is>
          <t>보통이다</t>
        </is>
      </c>
      <c r="O21" t="inlineStr">
        <is>
          <t>그렇다</t>
        </is>
      </c>
      <c r="P21" t="inlineStr">
        <is>
          <t>그렇다</t>
        </is>
      </c>
      <c r="Q21" t="inlineStr">
        <is>
          <t>그렇다</t>
        </is>
      </c>
      <c r="R21" t="inlineStr">
        <is>
          <t>그렇다</t>
        </is>
      </c>
      <c r="S21" t="inlineStr">
        <is>
          <t>그렇다</t>
        </is>
      </c>
      <c r="T21" t="inlineStr">
        <is>
          <t>그렇다</t>
        </is>
      </c>
      <c r="U21" t="inlineStr">
        <is>
          <t>(일반)</t>
        </is>
      </c>
    </row>
    <row r="22">
      <c r="A22" t="n">
        <v>20</v>
      </c>
      <c r="B22" t="inlineStr">
        <is>
          <t>초등학교</t>
        </is>
      </c>
      <c r="C22" t="inlineStr">
        <is>
          <t>월수</t>
        </is>
      </c>
      <c r="D22" t="inlineStr">
        <is>
          <t>6 회</t>
        </is>
      </c>
      <c r="E22" t="inlineStr">
        <is>
          <t>류연아</t>
        </is>
      </c>
      <c r="F22" t="inlineStr">
        <is>
          <t>yeonah5845</t>
        </is>
      </c>
      <c r="G22" t="inlineStr">
        <is>
          <t>여</t>
        </is>
      </c>
      <c r="H22" t="inlineStr">
        <is>
          <t>장량초등학교</t>
        </is>
      </c>
      <c r="I22" t="n">
        <v>6</v>
      </c>
      <c r="J22" t="inlineStr">
        <is>
          <t>010-5292-5845</t>
        </is>
      </c>
      <c r="K22" t="inlineStr">
        <is>
          <t>이정화</t>
        </is>
      </c>
      <c r="L22" t="inlineStr">
        <is>
          <t>010-4002-5845</t>
        </is>
      </c>
      <c r="M22" t="inlineStr">
        <is>
          <t>[37584  ] 경북 포항시 북구 새천년대로 1235 (장성동, 두산 위브 더 제니스)두산위브더제니스 107-3002</t>
        </is>
      </c>
      <c r="N22" t="inlineStr">
        <is>
          <t>보통이다</t>
        </is>
      </c>
      <c r="O22" t="inlineStr">
        <is>
          <t>보통이다</t>
        </is>
      </c>
      <c r="P22" t="inlineStr">
        <is>
          <t>보통이다</t>
        </is>
      </c>
      <c r="Q22" t="inlineStr">
        <is>
          <t>보통이다</t>
        </is>
      </c>
      <c r="R22" t="inlineStr">
        <is>
          <t>보통이다</t>
        </is>
      </c>
      <c r="S22" t="inlineStr">
        <is>
          <t>보통이다</t>
        </is>
      </c>
      <c r="T22" t="inlineStr">
        <is>
          <t>보통이다</t>
        </is>
      </c>
      <c r="U22" t="inlineStr">
        <is>
          <t>(일반)</t>
        </is>
      </c>
    </row>
    <row r="23">
      <c r="A23" t="n">
        <v>21</v>
      </c>
      <c r="B23" t="inlineStr">
        <is>
          <t>초등학교</t>
        </is>
      </c>
      <c r="C23" t="inlineStr">
        <is>
          <t>월수</t>
        </is>
      </c>
      <c r="D23" t="inlineStr">
        <is>
          <t>1 회</t>
        </is>
      </c>
      <c r="E23" t="inlineStr">
        <is>
          <t>남다은</t>
        </is>
      </c>
      <c r="F23" t="inlineStr">
        <is>
          <t>nde0858</t>
        </is>
      </c>
      <c r="G23" t="inlineStr">
        <is>
          <t>여</t>
        </is>
      </c>
      <c r="H23" t="inlineStr">
        <is>
          <t>포항제철지곡초등학교</t>
        </is>
      </c>
      <c r="I23" t="n">
        <v>4</v>
      </c>
      <c r="J23" t="inlineStr">
        <is>
          <t>010-4391-0858</t>
        </is>
      </c>
      <c r="K23" t="inlineStr">
        <is>
          <t>길아영</t>
        </is>
      </c>
      <c r="L23" t="inlineStr">
        <is>
          <t>010-2679-0858</t>
        </is>
      </c>
      <c r="M23" t="inlineStr">
        <is>
          <t>[37667  ] 경북 포항시 남구 지곡로 260 (지곡동, 효자그린아파트)103동 2004호</t>
        </is>
      </c>
      <c r="N23" t="inlineStr">
        <is>
          <t>보통이다</t>
        </is>
      </c>
      <c r="O23" t="inlineStr">
        <is>
          <t>그렇다</t>
        </is>
      </c>
      <c r="P23" t="inlineStr">
        <is>
          <t>그렇다</t>
        </is>
      </c>
      <c r="Q23" t="inlineStr">
        <is>
          <t>보통이다</t>
        </is>
      </c>
      <c r="R23" t="inlineStr">
        <is>
          <t>그렇지 않다</t>
        </is>
      </c>
      <c r="S23" t="inlineStr">
        <is>
          <t>그렇지 않다</t>
        </is>
      </c>
      <c r="T23" t="inlineStr">
        <is>
          <t>보통이다</t>
        </is>
      </c>
      <c r="U23" t="inlineStr">
        <is>
          <t>(일반)</t>
        </is>
      </c>
    </row>
    <row r="24">
      <c r="A24" t="n">
        <v>22</v>
      </c>
      <c r="B24" t="inlineStr">
        <is>
          <t>초등학교</t>
        </is>
      </c>
      <c r="C24" t="inlineStr">
        <is>
          <t>화목</t>
        </is>
      </c>
      <c r="D24" t="inlineStr">
        <is>
          <t>1 회</t>
        </is>
      </c>
      <c r="E24" t="inlineStr">
        <is>
          <t>전주성</t>
        </is>
      </c>
      <c r="F24" t="inlineStr">
        <is>
          <t>jin02468</t>
        </is>
      </c>
      <c r="G24" t="inlineStr">
        <is>
          <t>남</t>
        </is>
      </c>
      <c r="H24" t="inlineStr">
        <is>
          <t>양포초등학교</t>
        </is>
      </c>
      <c r="I24" t="n">
        <v>5</v>
      </c>
      <c r="J24" t="inlineStr">
        <is>
          <t>010-3462-1597</t>
        </is>
      </c>
      <c r="K24" t="inlineStr">
        <is>
          <t>이진숙</t>
        </is>
      </c>
      <c r="L24" t="inlineStr">
        <is>
          <t>010-3462-1597</t>
        </is>
      </c>
      <c r="M24" t="inlineStr">
        <is>
          <t>[37690] 경북 포항시 북구 이동로 47 (득량동)삼구트리니엔 시그니처 101동 801호</t>
        </is>
      </c>
      <c r="N24" t="inlineStr">
        <is>
          <t>보통이다</t>
        </is>
      </c>
      <c r="O24" t="inlineStr">
        <is>
          <t>그렇지 않다</t>
        </is>
      </c>
      <c r="P24" t="inlineStr">
        <is>
          <t>그렇지 않다</t>
        </is>
      </c>
      <c r="Q24" t="inlineStr">
        <is>
          <t>그렇지 않다</t>
        </is>
      </c>
      <c r="R24" t="inlineStr">
        <is>
          <t>그렇지 않다</t>
        </is>
      </c>
      <c r="S24" t="inlineStr">
        <is>
          <t>그렇지 않다</t>
        </is>
      </c>
      <c r="T24" t="inlineStr">
        <is>
          <t>그렇지 않다</t>
        </is>
      </c>
      <c r="U24" t="inlineStr">
        <is>
          <t>(일반)</t>
        </is>
      </c>
    </row>
    <row r="25">
      <c r="A25" t="n">
        <v>23</v>
      </c>
      <c r="B25" t="inlineStr">
        <is>
          <t>초등학교</t>
        </is>
      </c>
      <c r="C25" t="inlineStr">
        <is>
          <t>화목</t>
        </is>
      </c>
      <c r="D25" t="inlineStr">
        <is>
          <t>1 회</t>
        </is>
      </c>
      <c r="E25" t="inlineStr">
        <is>
          <t>박서현</t>
        </is>
      </c>
      <c r="F25" t="inlineStr">
        <is>
          <t>jung1315</t>
        </is>
      </c>
      <c r="G25" t="inlineStr">
        <is>
          <t>여</t>
        </is>
      </c>
      <c r="H25" t="inlineStr">
        <is>
          <t>포항원동초등학교</t>
        </is>
      </c>
      <c r="I25" t="n">
        <v>4</v>
      </c>
      <c r="J25" t="inlineStr">
        <is>
          <t>010-2511-9365</t>
        </is>
      </c>
      <c r="K25" t="inlineStr">
        <is>
          <t>전정아</t>
        </is>
      </c>
      <c r="L25" t="inlineStr">
        <is>
          <t>010-2511-9365</t>
        </is>
      </c>
      <c r="M25" t="inlineStr">
        <is>
          <t>[37883  ] 경북 포항시 남구 오천읍 남원로 85 (원리, 2차부영아파트)133동202호</t>
        </is>
      </c>
      <c r="N25" t="inlineStr">
        <is>
          <t>보통이다</t>
        </is>
      </c>
      <c r="O25" t="inlineStr">
        <is>
          <t>보통이다</t>
        </is>
      </c>
      <c r="P25" t="inlineStr">
        <is>
          <t>보통이다</t>
        </is>
      </c>
      <c r="Q25" t="inlineStr">
        <is>
          <t>보통이다</t>
        </is>
      </c>
      <c r="R25" t="inlineStr">
        <is>
          <t>그렇지 않다</t>
        </is>
      </c>
      <c r="S25" t="inlineStr">
        <is>
          <t>그렇지 않다</t>
        </is>
      </c>
      <c r="T25" t="inlineStr">
        <is>
          <t>그렇지 않다</t>
        </is>
      </c>
      <c r="U25" t="inlineStr">
        <is>
          <t>(신청)</t>
        </is>
      </c>
    </row>
    <row r="26">
      <c r="A26" t="n">
        <v>24</v>
      </c>
      <c r="B26" t="inlineStr">
        <is>
          <t>초등학교</t>
        </is>
      </c>
      <c r="C26" t="inlineStr">
        <is>
          <t>화목</t>
        </is>
      </c>
      <c r="D26" t="inlineStr">
        <is>
          <t>4 회</t>
        </is>
      </c>
      <c r="E26" t="inlineStr">
        <is>
          <t>김윤솔</t>
        </is>
      </c>
      <c r="F26" t="inlineStr">
        <is>
          <t>yunsol15</t>
        </is>
      </c>
      <c r="G26" t="inlineStr">
        <is>
          <t>남</t>
        </is>
      </c>
      <c r="H26" t="inlineStr">
        <is>
          <t>포항남부초등학교</t>
        </is>
      </c>
      <c r="I26" t="n">
        <v>5</v>
      </c>
      <c r="J26" t="inlineStr">
        <is>
          <t>010-3164-1756</t>
        </is>
      </c>
      <c r="K26" t="inlineStr">
        <is>
          <t>김애숙</t>
        </is>
      </c>
      <c r="L26" t="inlineStr">
        <is>
          <t>010-3164-1756</t>
        </is>
      </c>
      <c r="M26" t="inlineStr">
        <is>
          <t>[37748  ] 경북 포항시 북구 중흥로267번길 33 (죽도동, 칠성빌라)7동 201호</t>
        </is>
      </c>
      <c r="N26" t="inlineStr">
        <is>
          <t>그렇다</t>
        </is>
      </c>
      <c r="O26" t="inlineStr">
        <is>
          <t>그렇다</t>
        </is>
      </c>
      <c r="P26" t="inlineStr">
        <is>
          <t>그렇다</t>
        </is>
      </c>
      <c r="Q26" t="inlineStr">
        <is>
          <t>그렇다</t>
        </is>
      </c>
      <c r="R26" t="inlineStr">
        <is>
          <t>보통이다</t>
        </is>
      </c>
      <c r="S26" t="inlineStr">
        <is>
          <t>그렇다</t>
        </is>
      </c>
      <c r="T26" t="inlineStr">
        <is>
          <t>그렇다</t>
        </is>
      </c>
      <c r="U26" t="inlineStr">
        <is>
          <t>(일반)</t>
        </is>
      </c>
    </row>
    <row r="27">
      <c r="A27" t="n">
        <v>25</v>
      </c>
      <c r="B27" t="inlineStr">
        <is>
          <t>초등학교</t>
        </is>
      </c>
      <c r="C27" t="inlineStr">
        <is>
          <t>월수</t>
        </is>
      </c>
      <c r="D27" t="inlineStr">
        <is>
          <t>7 회</t>
        </is>
      </c>
      <c r="E27" t="inlineStr">
        <is>
          <t>문로아</t>
        </is>
      </c>
      <c r="F27" t="inlineStr">
        <is>
          <t>roathe1st</t>
        </is>
      </c>
      <c r="G27" t="inlineStr">
        <is>
          <t>여</t>
        </is>
      </c>
      <c r="H27" t="inlineStr">
        <is>
          <t>장성초등학교</t>
        </is>
      </c>
      <c r="I27" t="n">
        <v>6</v>
      </c>
      <c r="J27" t="inlineStr">
        <is>
          <t>010-9090-0229</t>
        </is>
      </c>
      <c r="K27" t="inlineStr">
        <is>
          <t>최서영</t>
        </is>
      </c>
      <c r="L27" t="inlineStr">
        <is>
          <t>010-9090-0229</t>
        </is>
      </c>
      <c r="M27" t="inlineStr">
        <is>
          <t>[37628  ] 경북 포항시 북구 새천년대로1123번길 38 (장성동, 창포보성타운)101동 103호</t>
        </is>
      </c>
      <c r="N27" t="inlineStr">
        <is>
          <t>매우 그렇다</t>
        </is>
      </c>
      <c r="O27" t="inlineStr">
        <is>
          <t>매우 그렇다</t>
        </is>
      </c>
      <c r="P27" t="inlineStr">
        <is>
          <t>매우 그렇다</t>
        </is>
      </c>
      <c r="Q27" t="inlineStr">
        <is>
          <t>매우 그렇다</t>
        </is>
      </c>
      <c r="R27" t="inlineStr">
        <is>
          <t>매우 그렇다</t>
        </is>
      </c>
      <c r="S27" t="inlineStr">
        <is>
          <t>매우 그렇다</t>
        </is>
      </c>
      <c r="T27" t="inlineStr">
        <is>
          <t>매우 그렇다</t>
        </is>
      </c>
      <c r="U27" t="inlineStr">
        <is>
          <t>(일반)</t>
        </is>
      </c>
    </row>
    <row r="28">
      <c r="A28" t="n">
        <v>26</v>
      </c>
      <c r="B28" t="inlineStr">
        <is>
          <t>초등학교</t>
        </is>
      </c>
      <c r="C28" t="inlineStr">
        <is>
          <t>월수</t>
        </is>
      </c>
      <c r="D28" t="inlineStr">
        <is>
          <t>3 회</t>
        </is>
      </c>
      <c r="E28" t="inlineStr">
        <is>
          <t>김규민</t>
        </is>
      </c>
      <c r="F28" t="inlineStr">
        <is>
          <t>gmkim0126</t>
        </is>
      </c>
      <c r="G28" t="inlineStr">
        <is>
          <t>남</t>
        </is>
      </c>
      <c r="H28" t="inlineStr">
        <is>
          <t>두호남부초등학교</t>
        </is>
      </c>
      <c r="I28" t="n">
        <v>5</v>
      </c>
      <c r="J28" t="inlineStr">
        <is>
          <t>010-7641-1477</t>
        </is>
      </c>
      <c r="K28" t="inlineStr">
        <is>
          <t>서교애</t>
        </is>
      </c>
      <c r="L28" t="inlineStr">
        <is>
          <t>010-7641-1477</t>
        </is>
      </c>
      <c r="M28" t="inlineStr">
        <is>
          <t>[37710  ] 경북 포항시 북구 두호로 65 (두호동, 두호 SK VIEW 푸르지오)202-1004</t>
        </is>
      </c>
      <c r="N28" t="inlineStr">
        <is>
          <t>그렇지 않다</t>
        </is>
      </c>
      <c r="O28" t="inlineStr">
        <is>
          <t>보통이다</t>
        </is>
      </c>
      <c r="P28" t="inlineStr">
        <is>
          <t>전혀 그렇지 않다</t>
        </is>
      </c>
      <c r="Q28" t="inlineStr">
        <is>
          <t>전혀 그렇지 않다</t>
        </is>
      </c>
      <c r="R28" t="inlineStr">
        <is>
          <t>전혀 그렇지 않다</t>
        </is>
      </c>
      <c r="S28" t="inlineStr">
        <is>
          <t>전혀 그렇지 않다</t>
        </is>
      </c>
      <c r="T28" t="inlineStr">
        <is>
          <t>전혀 그렇지 않다</t>
        </is>
      </c>
      <c r="U28" t="inlineStr">
        <is>
          <t>(일반)</t>
        </is>
      </c>
    </row>
    <row r="29">
      <c r="A29" t="n">
        <v>27</v>
      </c>
      <c r="B29" t="inlineStr">
        <is>
          <t>초등학교</t>
        </is>
      </c>
      <c r="C29" t="inlineStr">
        <is>
          <t>월수</t>
        </is>
      </c>
      <c r="D29" t="inlineStr">
        <is>
          <t>1 회</t>
        </is>
      </c>
      <c r="E29" t="inlineStr">
        <is>
          <t>김지명</t>
        </is>
      </c>
      <c r="F29" t="inlineStr">
        <is>
          <t>jimyung0212</t>
        </is>
      </c>
      <c r="G29" t="inlineStr">
        <is>
          <t>남</t>
        </is>
      </c>
      <c r="H29" t="inlineStr">
        <is>
          <t>포항중앙초등학교</t>
        </is>
      </c>
      <c r="I29" t="n">
        <v>4</v>
      </c>
      <c r="J29" t="inlineStr">
        <is>
          <t>010-4515-1623</t>
        </is>
      </c>
      <c r="K29" t="inlineStr">
        <is>
          <t>이지현</t>
        </is>
      </c>
      <c r="L29" t="inlineStr">
        <is>
          <t>010-4515-1623</t>
        </is>
      </c>
      <c r="M29" t="inlineStr">
        <is>
          <t>[37639  ] 경북 포항시 북구 우창로 20 (우현동, 신동아베르디1차)202동103호</t>
        </is>
      </c>
      <c r="N29" t="inlineStr">
        <is>
          <t>그렇지 않다</t>
        </is>
      </c>
      <c r="O29" t="inlineStr">
        <is>
          <t>보통이다</t>
        </is>
      </c>
      <c r="P29" t="inlineStr">
        <is>
          <t>그렇다</t>
        </is>
      </c>
      <c r="Q29" t="inlineStr">
        <is>
          <t>보통이다</t>
        </is>
      </c>
      <c r="R29" t="inlineStr">
        <is>
          <t>그렇다</t>
        </is>
      </c>
      <c r="S29" t="inlineStr">
        <is>
          <t>그렇다</t>
        </is>
      </c>
      <c r="T29" t="inlineStr">
        <is>
          <t>그렇다</t>
        </is>
      </c>
      <c r="U29" t="inlineStr">
        <is>
          <t>(일반)</t>
        </is>
      </c>
    </row>
    <row r="30">
      <c r="A30" t="n">
        <v>28</v>
      </c>
      <c r="B30" t="inlineStr">
        <is>
          <t>초등학교</t>
        </is>
      </c>
      <c r="C30" t="inlineStr">
        <is>
          <t>화목</t>
        </is>
      </c>
      <c r="D30" t="inlineStr">
        <is>
          <t>1 회</t>
        </is>
      </c>
      <c r="E30" t="inlineStr">
        <is>
          <t>정의지</t>
        </is>
      </c>
      <c r="F30" t="inlineStr">
        <is>
          <t>ezez1115</t>
        </is>
      </c>
      <c r="G30" t="inlineStr">
        <is>
          <t>남</t>
        </is>
      </c>
      <c r="H30" t="inlineStr">
        <is>
          <t>초곡초등학교</t>
        </is>
      </c>
      <c r="I30" t="n">
        <v>5</v>
      </c>
      <c r="J30" t="inlineStr">
        <is>
          <t>010-3956-3452</t>
        </is>
      </c>
      <c r="K30" t="inlineStr">
        <is>
          <t>임혜정</t>
        </is>
      </c>
      <c r="L30" t="inlineStr">
        <is>
          <t>010-7535-3452</t>
        </is>
      </c>
      <c r="M30" t="inlineStr">
        <is>
          <t>[37560  ] 경북 포항시 북구 흥해읍 초곡지구로58번길 52 (초곡리, 초곡삼구트리니엔 시티)111동 203호</t>
        </is>
      </c>
      <c r="N30" t="inlineStr">
        <is>
          <t>보통이다</t>
        </is>
      </c>
      <c r="O30" t="inlineStr">
        <is>
          <t>그렇지 않다</t>
        </is>
      </c>
      <c r="P30" t="inlineStr">
        <is>
          <t>그렇지 않다</t>
        </is>
      </c>
      <c r="Q30" t="inlineStr">
        <is>
          <t>그렇지 않다</t>
        </is>
      </c>
      <c r="R30" t="inlineStr">
        <is>
          <t>그렇지 않다</t>
        </is>
      </c>
      <c r="S30" t="inlineStr">
        <is>
          <t>그렇지 않다</t>
        </is>
      </c>
      <c r="T30" t="inlineStr">
        <is>
          <t>그렇지 않다</t>
        </is>
      </c>
      <c r="U30" t="inlineStr">
        <is>
          <t>(일반)</t>
        </is>
      </c>
    </row>
    <row r="31">
      <c r="A31" t="n">
        <v>29</v>
      </c>
      <c r="B31" t="inlineStr">
        <is>
          <t>초등학교</t>
        </is>
      </c>
      <c r="C31" t="inlineStr">
        <is>
          <t>화목</t>
        </is>
      </c>
      <c r="D31" t="inlineStr">
        <is>
          <t>7 회</t>
        </is>
      </c>
      <c r="E31" t="inlineStr">
        <is>
          <t>허지호</t>
        </is>
      </c>
      <c r="F31" t="inlineStr">
        <is>
          <t>zzho</t>
        </is>
      </c>
      <c r="G31" t="inlineStr">
        <is>
          <t>남</t>
        </is>
      </c>
      <c r="H31" t="inlineStr">
        <is>
          <t>포항제철초등학교</t>
        </is>
      </c>
      <c r="I31" t="n">
        <v>6</v>
      </c>
      <c r="J31" t="inlineStr">
        <is>
          <t>010-9893-1524</t>
        </is>
      </c>
      <c r="K31" t="inlineStr">
        <is>
          <t>최혜정</t>
        </is>
      </c>
      <c r="L31" t="inlineStr">
        <is>
          <t>010-9893-1524</t>
        </is>
      </c>
      <c r="M31" t="inlineStr">
        <is>
          <t>[37668  ] 경북 포항시 남구 지곡로 394 (지곡동, 포항테크노파크)테크노빌 1401호</t>
        </is>
      </c>
      <c r="N31" t="inlineStr">
        <is>
          <t>매우 그렇다</t>
        </is>
      </c>
      <c r="O31" t="inlineStr">
        <is>
          <t>매우 그렇다</t>
        </is>
      </c>
      <c r="P31" t="inlineStr">
        <is>
          <t>매우 그렇다</t>
        </is>
      </c>
      <c r="Q31" t="inlineStr">
        <is>
          <t>보통이다</t>
        </is>
      </c>
      <c r="R31" t="inlineStr">
        <is>
          <t>그렇다</t>
        </is>
      </c>
      <c r="S31" t="inlineStr">
        <is>
          <t>보통이다</t>
        </is>
      </c>
      <c r="T31" t="inlineStr">
        <is>
          <t>매우 그렇다</t>
        </is>
      </c>
      <c r="U31" t="inlineStr">
        <is>
          <t>(일반)</t>
        </is>
      </c>
    </row>
    <row r="32">
      <c r="A32" t="n">
        <v>30</v>
      </c>
      <c r="B32" t="inlineStr">
        <is>
          <t>초등학교</t>
        </is>
      </c>
      <c r="C32" t="inlineStr">
        <is>
          <t>화목</t>
        </is>
      </c>
      <c r="D32" t="inlineStr">
        <is>
          <t>1 회</t>
        </is>
      </c>
      <c r="E32" t="inlineStr">
        <is>
          <t>남효승</t>
        </is>
      </c>
      <c r="F32" t="inlineStr">
        <is>
          <t>hueyjjang</t>
        </is>
      </c>
      <c r="G32" t="inlineStr">
        <is>
          <t>남</t>
        </is>
      </c>
      <c r="H32" t="inlineStr">
        <is>
          <t>포항제철초등학교</t>
        </is>
      </c>
      <c r="I32" t="n">
        <v>6</v>
      </c>
      <c r="J32" t="inlineStr">
        <is>
          <t>010-2534-1566</t>
        </is>
      </c>
      <c r="K32" t="inlineStr">
        <is>
          <t>김수진</t>
        </is>
      </c>
      <c r="L32" t="inlineStr">
        <is>
          <t>010-2534-1566</t>
        </is>
      </c>
      <c r="M32" t="inlineStr">
        <is>
          <t>[37669  ] 경북 포항시 남구 지곡로 294 (지곡동, 효자그린아파트)221동 606호</t>
        </is>
      </c>
      <c r="N32" t="inlineStr">
        <is>
          <t>보통이다</t>
        </is>
      </c>
      <c r="O32" t="inlineStr">
        <is>
          <t>매우 그렇다</t>
        </is>
      </c>
      <c r="P32" t="inlineStr">
        <is>
          <t>그렇다</t>
        </is>
      </c>
      <c r="Q32" t="inlineStr">
        <is>
          <t>매우 그렇다</t>
        </is>
      </c>
      <c r="R32" t="inlineStr">
        <is>
          <t>매우 그렇다</t>
        </is>
      </c>
      <c r="S32" t="inlineStr">
        <is>
          <t>그렇다</t>
        </is>
      </c>
      <c r="T32" t="inlineStr">
        <is>
          <t>그렇다</t>
        </is>
      </c>
      <c r="U32" t="inlineStr">
        <is>
          <t>(일반)</t>
        </is>
      </c>
    </row>
    <row r="33">
      <c r="A33" t="n">
        <v>31</v>
      </c>
      <c r="B33" t="inlineStr">
        <is>
          <t>초등학교</t>
        </is>
      </c>
      <c r="C33" t="inlineStr">
        <is>
          <t>화목</t>
        </is>
      </c>
      <c r="D33" t="inlineStr">
        <is>
          <t>4 회</t>
        </is>
      </c>
      <c r="E33" t="inlineStr">
        <is>
          <t>차민영</t>
        </is>
      </c>
      <c r="F33" t="inlineStr">
        <is>
          <t>chamy22</t>
        </is>
      </c>
      <c r="G33" t="inlineStr">
        <is>
          <t>남</t>
        </is>
      </c>
      <c r="H33" t="inlineStr">
        <is>
          <t>포항제철초등학교</t>
        </is>
      </c>
      <c r="I33" t="n">
        <v>5</v>
      </c>
      <c r="J33" t="inlineStr">
        <is>
          <t>010-6470-8233</t>
        </is>
      </c>
      <c r="K33" t="inlineStr">
        <is>
          <t>장정선</t>
        </is>
      </c>
      <c r="L33" t="inlineStr">
        <is>
          <t>010-6470-8233</t>
        </is>
      </c>
      <c r="M33" t="inlineStr">
        <is>
          <t>[37665  ] 경북 포항시 남구 지곡로 20 (효자동, 승리아파트)5동 1404호</t>
        </is>
      </c>
      <c r="N33" t="inlineStr">
        <is>
          <t>보통이다</t>
        </is>
      </c>
      <c r="O33" t="inlineStr">
        <is>
          <t>매우 그렇다</t>
        </is>
      </c>
      <c r="P33" t="inlineStr">
        <is>
          <t>매우 그렇다</t>
        </is>
      </c>
      <c r="Q33" t="inlineStr">
        <is>
          <t>그렇다</t>
        </is>
      </c>
      <c r="R33" t="inlineStr">
        <is>
          <t>매우 그렇다</t>
        </is>
      </c>
      <c r="S33" t="inlineStr">
        <is>
          <t>보통이다</t>
        </is>
      </c>
      <c r="T33" t="inlineStr">
        <is>
          <t>그렇다</t>
        </is>
      </c>
      <c r="U33" t="inlineStr">
        <is>
          <t>(신청)</t>
        </is>
      </c>
    </row>
    <row r="34">
      <c r="A34" t="n">
        <v>32</v>
      </c>
      <c r="B34" t="inlineStr">
        <is>
          <t>초등학교</t>
        </is>
      </c>
      <c r="C34" t="inlineStr">
        <is>
          <t>화목</t>
        </is>
      </c>
      <c r="D34" t="inlineStr">
        <is>
          <t>1 회</t>
        </is>
      </c>
      <c r="E34" t="inlineStr">
        <is>
          <t>김담혁</t>
        </is>
      </c>
      <c r="F34" t="inlineStr">
        <is>
          <t>dhyuk0401</t>
        </is>
      </c>
      <c r="G34" t="inlineStr">
        <is>
          <t>남</t>
        </is>
      </c>
      <c r="H34" t="inlineStr">
        <is>
          <t>초곡초등학교</t>
        </is>
      </c>
      <c r="I34" t="n">
        <v>5</v>
      </c>
      <c r="J34" t="inlineStr">
        <is>
          <t>010-2324-4858</t>
        </is>
      </c>
      <c r="K34" t="inlineStr">
        <is>
          <t>하지혜</t>
        </is>
      </c>
      <c r="L34" t="inlineStr">
        <is>
          <t>010-2324-4858</t>
        </is>
      </c>
      <c r="M34" t="inlineStr">
        <is>
          <t>[37560  ] 경북 포항시 북구 흥해읍 초곡지구로58번길 65-9 (초곡리, 초곡리슈빌)104동 1301호</t>
        </is>
      </c>
      <c r="N34" t="inlineStr">
        <is>
          <t>보통이다</t>
        </is>
      </c>
      <c r="O34" t="inlineStr">
        <is>
          <t>보통이다</t>
        </is>
      </c>
      <c r="P34" t="inlineStr">
        <is>
          <t>보통이다</t>
        </is>
      </c>
      <c r="Q34" t="inlineStr">
        <is>
          <t>보통이다</t>
        </is>
      </c>
      <c r="R34" t="inlineStr">
        <is>
          <t>보통이다</t>
        </is>
      </c>
      <c r="S34" t="inlineStr">
        <is>
          <t>보통이다</t>
        </is>
      </c>
      <c r="T34" t="inlineStr">
        <is>
          <t>보통이다</t>
        </is>
      </c>
      <c r="U34" t="inlineStr">
        <is>
          <t>(일반)</t>
        </is>
      </c>
    </row>
    <row r="35">
      <c r="A35" t="n">
        <v>33</v>
      </c>
      <c r="B35" t="inlineStr">
        <is>
          <t>초등학교</t>
        </is>
      </c>
      <c r="C35" t="inlineStr">
        <is>
          <t>화목</t>
        </is>
      </c>
      <c r="D35" t="inlineStr">
        <is>
          <t>1 회</t>
        </is>
      </c>
      <c r="E35" t="inlineStr">
        <is>
          <t>조서윤</t>
        </is>
      </c>
      <c r="F35" t="inlineStr">
        <is>
          <t>sy0906</t>
        </is>
      </c>
      <c r="G35" t="inlineStr">
        <is>
          <t>여</t>
        </is>
      </c>
      <c r="H35" t="inlineStr">
        <is>
          <t>포항해맞이초등학교</t>
        </is>
      </c>
      <c r="I35" t="n">
        <v>6</v>
      </c>
      <c r="J35" t="inlineStr">
        <is>
          <t>010-4530-8786</t>
        </is>
      </c>
      <c r="K35" t="inlineStr">
        <is>
          <t>김효진</t>
        </is>
      </c>
      <c r="L35" t="inlineStr">
        <is>
          <t>010-4530-8786</t>
        </is>
      </c>
      <c r="M35" t="inlineStr">
        <is>
          <t>[37605  ] 경북 포항시 북구 새천년대로 1276 (양덕동, 힐스테이트 환호공원 2단지)206동3703호</t>
        </is>
      </c>
      <c r="N35" t="inlineStr">
        <is>
          <t>그렇다</t>
        </is>
      </c>
      <c r="O35" t="inlineStr">
        <is>
          <t>그렇지 않다</t>
        </is>
      </c>
      <c r="P35" t="inlineStr">
        <is>
          <t>그렇지 않다</t>
        </is>
      </c>
      <c r="Q35" t="inlineStr">
        <is>
          <t>그렇지 않다</t>
        </is>
      </c>
      <c r="R35" t="inlineStr">
        <is>
          <t>그렇지 않다</t>
        </is>
      </c>
      <c r="S35" t="inlineStr">
        <is>
          <t>그렇지 않다</t>
        </is>
      </c>
      <c r="T35" t="inlineStr">
        <is>
          <t>그렇지 않다</t>
        </is>
      </c>
      <c r="U35" t="inlineStr">
        <is>
          <t>(일반)</t>
        </is>
      </c>
    </row>
    <row r="36">
      <c r="A36" t="n">
        <v>34</v>
      </c>
      <c r="B36" t="inlineStr">
        <is>
          <t>초등학교</t>
        </is>
      </c>
      <c r="C36" t="inlineStr">
        <is>
          <t>월수</t>
        </is>
      </c>
      <c r="D36" t="inlineStr">
        <is>
          <t>1 회</t>
        </is>
      </c>
      <c r="E36" t="inlineStr">
        <is>
          <t>서승제</t>
        </is>
      </c>
      <c r="F36" t="inlineStr">
        <is>
          <t>tjtmdwp16</t>
        </is>
      </c>
      <c r="G36" t="inlineStr">
        <is>
          <t>남</t>
        </is>
      </c>
      <c r="H36" t="inlineStr">
        <is>
          <t>포항대흥초등학교</t>
        </is>
      </c>
      <c r="I36" t="n">
        <v>4</v>
      </c>
      <c r="J36" t="inlineStr">
        <is>
          <t>010-7317-0804</t>
        </is>
      </c>
      <c r="K36" t="inlineStr">
        <is>
          <t>허윤희</t>
        </is>
      </c>
      <c r="L36" t="inlineStr">
        <is>
          <t>010-7317-0804</t>
        </is>
      </c>
      <c r="M36" t="inlineStr">
        <is>
          <t>[37650  ] 경북 포항시 북구 대안길 56 (용흥동, 우방타운)121동 1010호</t>
        </is>
      </c>
      <c r="N36" t="inlineStr">
        <is>
          <t>그렇지 않다</t>
        </is>
      </c>
      <c r="O36" t="inlineStr">
        <is>
          <t>보통이다</t>
        </is>
      </c>
      <c r="P36" t="inlineStr">
        <is>
          <t>보통이다</t>
        </is>
      </c>
      <c r="Q36" t="inlineStr">
        <is>
          <t>그렇지 않다</t>
        </is>
      </c>
      <c r="R36" t="inlineStr">
        <is>
          <t>보통이다</t>
        </is>
      </c>
      <c r="S36" t="inlineStr">
        <is>
          <t>그렇지 않다</t>
        </is>
      </c>
      <c r="T36" t="inlineStr">
        <is>
          <t>그렇지 않다</t>
        </is>
      </c>
      <c r="U36" t="inlineStr">
        <is>
          <t>(일반)</t>
        </is>
      </c>
    </row>
    <row r="37">
      <c r="A37" t="n">
        <v>35</v>
      </c>
      <c r="B37" t="inlineStr">
        <is>
          <t>초등학교</t>
        </is>
      </c>
      <c r="C37" t="inlineStr">
        <is>
          <t>화목</t>
        </is>
      </c>
      <c r="D37" t="inlineStr">
        <is>
          <t>1 회</t>
        </is>
      </c>
      <c r="E37" t="inlineStr">
        <is>
          <t>장서우</t>
        </is>
      </c>
      <c r="F37" t="inlineStr">
        <is>
          <t>gpfksl36</t>
        </is>
      </c>
      <c r="G37" t="inlineStr">
        <is>
          <t>남</t>
        </is>
      </c>
      <c r="H37" t="inlineStr">
        <is>
          <t>신광초등학교</t>
        </is>
      </c>
      <c r="I37" t="n">
        <v>3</v>
      </c>
      <c r="J37" t="inlineStr">
        <is>
          <t>010-8314-1101</t>
        </is>
      </c>
      <c r="K37" t="inlineStr">
        <is>
          <t>정혜란</t>
        </is>
      </c>
      <c r="L37" t="inlineStr">
        <is>
          <t>010-8314-1101</t>
        </is>
      </c>
      <c r="M37" t="inlineStr">
        <is>
          <t>[37560  ] 경북 포항시 북구 흥해읍 초곡지구로 102 (초곡리, 포항초곡지엔하임)103동401호</t>
        </is>
      </c>
      <c r="N37" t="inlineStr">
        <is>
          <t>보통이다</t>
        </is>
      </c>
      <c r="O37" t="inlineStr">
        <is>
          <t>전혀 그렇지 않다</t>
        </is>
      </c>
      <c r="P37" t="inlineStr">
        <is>
          <t>전혀 그렇지 않다</t>
        </is>
      </c>
      <c r="Q37" t="inlineStr">
        <is>
          <t>전혀 그렇지 않다</t>
        </is>
      </c>
      <c r="R37" t="inlineStr">
        <is>
          <t>전혀 그렇지 않다</t>
        </is>
      </c>
      <c r="S37" t="inlineStr">
        <is>
          <t>전혀 그렇지 않다</t>
        </is>
      </c>
      <c r="T37" t="inlineStr">
        <is>
          <t>전혀 그렇지 않다</t>
        </is>
      </c>
      <c r="U37" t="inlineStr">
        <is>
          <t>(일반)</t>
        </is>
      </c>
    </row>
    <row r="38">
      <c r="A38" t="n">
        <v>36</v>
      </c>
      <c r="B38" t="inlineStr">
        <is>
          <t>초등학교</t>
        </is>
      </c>
      <c r="C38" t="inlineStr">
        <is>
          <t>화목</t>
        </is>
      </c>
      <c r="D38" t="inlineStr">
        <is>
          <t>1 회</t>
        </is>
      </c>
      <c r="E38" t="inlineStr">
        <is>
          <t>김민결</t>
        </is>
      </c>
      <c r="F38" t="inlineStr">
        <is>
          <t>ethan0811</t>
        </is>
      </c>
      <c r="G38" t="inlineStr">
        <is>
          <t>남</t>
        </is>
      </c>
      <c r="H38" t="inlineStr">
        <is>
          <t>포항제철지곡초등학교</t>
        </is>
      </c>
      <c r="I38" t="n">
        <v>4</v>
      </c>
      <c r="J38" t="inlineStr">
        <is>
          <t>010-9476-9379</t>
        </is>
      </c>
      <c r="K38" t="inlineStr">
        <is>
          <t>김인섭</t>
        </is>
      </c>
      <c r="L38" t="inlineStr">
        <is>
          <t>010-5153-1091</t>
        </is>
      </c>
      <c r="M38" t="inlineStr">
        <is>
          <t>[37669  ] 경북 포항시 남구 지곡로 294 (지곡동, 효자그린아파트)215동 1001호</t>
        </is>
      </c>
      <c r="N38" t="inlineStr">
        <is>
          <t>보통이다</t>
        </is>
      </c>
      <c r="O38" t="inlineStr">
        <is>
          <t>그렇다</t>
        </is>
      </c>
      <c r="P38" t="inlineStr">
        <is>
          <t>그렇다</t>
        </is>
      </c>
      <c r="Q38" t="inlineStr">
        <is>
          <t>그렇다</t>
        </is>
      </c>
      <c r="R38" t="inlineStr">
        <is>
          <t>그렇지 않다</t>
        </is>
      </c>
      <c r="S38" t="inlineStr">
        <is>
          <t>그렇지 않다</t>
        </is>
      </c>
      <c r="T38" t="inlineStr">
        <is>
          <t>보통이다</t>
        </is>
      </c>
      <c r="U38" t="inlineStr">
        <is>
          <t>(일반)</t>
        </is>
      </c>
    </row>
    <row r="39">
      <c r="A39" t="n">
        <v>37</v>
      </c>
      <c r="B39" t="inlineStr">
        <is>
          <t>초등학교</t>
        </is>
      </c>
      <c r="C39" t="inlineStr">
        <is>
          <t>화목</t>
        </is>
      </c>
      <c r="D39" t="inlineStr">
        <is>
          <t>1 회</t>
        </is>
      </c>
      <c r="E39" t="inlineStr">
        <is>
          <t>권규빈</t>
        </is>
      </c>
      <c r="F39" t="inlineStr">
        <is>
          <t>Kkk123</t>
        </is>
      </c>
      <c r="G39" t="inlineStr">
        <is>
          <t>남</t>
        </is>
      </c>
      <c r="H39" t="inlineStr">
        <is>
          <t>한동글로벌학교</t>
        </is>
      </c>
      <c r="I39" t="n">
        <v>5</v>
      </c>
      <c r="J39" t="inlineStr">
        <is>
          <t>010-2232-7843</t>
        </is>
      </c>
      <c r="K39" t="inlineStr">
        <is>
          <t>박래희</t>
        </is>
      </c>
      <c r="L39" t="inlineStr">
        <is>
          <t>010-2232-7843</t>
        </is>
      </c>
      <c r="M39" t="inlineStr">
        <is>
          <t>[37570  ] 경북 포항시 북구 천마로 123 (양덕동, 양덕삼구트리니엔3차)303동2002호</t>
        </is>
      </c>
      <c r="N39" t="inlineStr">
        <is>
          <t>보통이다</t>
        </is>
      </c>
      <c r="O39" t="inlineStr">
        <is>
          <t>그렇지 않다</t>
        </is>
      </c>
      <c r="P39" t="inlineStr">
        <is>
          <t>보통이다</t>
        </is>
      </c>
      <c r="Q39" t="inlineStr">
        <is>
          <t>그렇지 않다</t>
        </is>
      </c>
      <c r="R39" t="inlineStr">
        <is>
          <t>그렇지 않다</t>
        </is>
      </c>
      <c r="S39" t="inlineStr">
        <is>
          <t>그렇지 않다</t>
        </is>
      </c>
      <c r="T39" t="inlineStr">
        <is>
          <t>그렇지 않다</t>
        </is>
      </c>
      <c r="U39" t="inlineStr">
        <is>
          <t>(일반)</t>
        </is>
      </c>
    </row>
    <row r="40">
      <c r="A40" t="n">
        <v>38</v>
      </c>
      <c r="B40" t="inlineStr">
        <is>
          <t>초등학교</t>
        </is>
      </c>
      <c r="C40" t="inlineStr">
        <is>
          <t>화목</t>
        </is>
      </c>
      <c r="D40" t="inlineStr">
        <is>
          <t>1 회</t>
        </is>
      </c>
      <c r="E40" t="inlineStr">
        <is>
          <t>김현재</t>
        </is>
      </c>
      <c r="F40" t="inlineStr">
        <is>
          <t>minami308</t>
        </is>
      </c>
      <c r="G40" t="inlineStr">
        <is>
          <t>남</t>
        </is>
      </c>
      <c r="H40" t="inlineStr">
        <is>
          <t>포항장흥초등학교</t>
        </is>
      </c>
      <c r="I40" t="n">
        <v>4</v>
      </c>
      <c r="J40" t="inlineStr">
        <is>
          <t>010-8680-3276</t>
        </is>
      </c>
      <c r="K40" t="inlineStr">
        <is>
          <t>KAWAHARA MIKA</t>
        </is>
      </c>
      <c r="L40" t="inlineStr">
        <is>
          <t>010-8680-3276</t>
        </is>
      </c>
      <c r="M40" t="inlineStr">
        <is>
          <t>[37582] 경북 포항시 북구 장량로61번길 14-13 (장성동)로이하우스305호</t>
        </is>
      </c>
      <c r="N40" t="inlineStr">
        <is>
          <t>보통이다</t>
        </is>
      </c>
      <c r="O40" t="inlineStr">
        <is>
          <t>그렇지 않다</t>
        </is>
      </c>
      <c r="P40" t="inlineStr">
        <is>
          <t>그렇다</t>
        </is>
      </c>
      <c r="Q40" t="inlineStr">
        <is>
          <t>그렇다</t>
        </is>
      </c>
      <c r="R40" t="inlineStr">
        <is>
          <t>보통이다</t>
        </is>
      </c>
      <c r="S40" t="inlineStr">
        <is>
          <t>그렇지 않다</t>
        </is>
      </c>
      <c r="T40" t="inlineStr">
        <is>
          <t>그렇다</t>
        </is>
      </c>
      <c r="U40" t="inlineStr">
        <is>
          <t>(신청)</t>
        </is>
      </c>
    </row>
    <row r="41">
      <c r="A41" t="n">
        <v>39</v>
      </c>
      <c r="B41" t="inlineStr">
        <is>
          <t>초등학교</t>
        </is>
      </c>
      <c r="C41" t="inlineStr">
        <is>
          <t>월수</t>
        </is>
      </c>
      <c r="D41" t="inlineStr">
        <is>
          <t>4 회</t>
        </is>
      </c>
      <c r="E41" t="inlineStr">
        <is>
          <t>윤유현</t>
        </is>
      </c>
      <c r="F41" t="inlineStr">
        <is>
          <t>yhyun0624</t>
        </is>
      </c>
      <c r="G41" t="inlineStr">
        <is>
          <t>남</t>
        </is>
      </c>
      <c r="H41" t="inlineStr">
        <is>
          <t>포항대흥초등학교</t>
        </is>
      </c>
      <c r="I41" t="n">
        <v>5</v>
      </c>
      <c r="J41" t="inlineStr">
        <is>
          <t>010-2969-5774</t>
        </is>
      </c>
      <c r="K41" t="inlineStr">
        <is>
          <t>김연정</t>
        </is>
      </c>
      <c r="L41" t="inlineStr">
        <is>
          <t>010-2969-5774</t>
        </is>
      </c>
      <c r="M41" t="inlineStr">
        <is>
          <t>[37645  ] 경북 포항시 북구 새마을로 104 (용흥동, 한라파크 7차)205동510호</t>
        </is>
      </c>
      <c r="N41" t="inlineStr">
        <is>
          <t>보통이다</t>
        </is>
      </c>
      <c r="O41" t="inlineStr">
        <is>
          <t>그렇다</t>
        </is>
      </c>
      <c r="P41" t="inlineStr">
        <is>
          <t>보통이다</t>
        </is>
      </c>
      <c r="Q41" t="inlineStr">
        <is>
          <t>그렇다</t>
        </is>
      </c>
      <c r="R41" t="inlineStr">
        <is>
          <t>그렇다</t>
        </is>
      </c>
      <c r="S41" t="inlineStr">
        <is>
          <t>보통이다</t>
        </is>
      </c>
      <c r="T41" t="inlineStr">
        <is>
          <t>그렇다</t>
        </is>
      </c>
      <c r="U41" t="inlineStr">
        <is>
          <t>(신청)</t>
        </is>
      </c>
    </row>
    <row r="42">
      <c r="A42" t="n">
        <v>40</v>
      </c>
      <c r="B42" t="inlineStr">
        <is>
          <t>초등학교</t>
        </is>
      </c>
      <c r="C42" t="inlineStr">
        <is>
          <t>월수</t>
        </is>
      </c>
      <c r="D42" t="inlineStr">
        <is>
          <t>4 회</t>
        </is>
      </c>
      <c r="E42" t="inlineStr">
        <is>
          <t>금서윤</t>
        </is>
      </c>
      <c r="F42" t="inlineStr">
        <is>
          <t>jina5411</t>
        </is>
      </c>
      <c r="G42" t="inlineStr">
        <is>
          <t>여</t>
        </is>
      </c>
      <c r="H42" t="inlineStr">
        <is>
          <t>포항장흥초등학교</t>
        </is>
      </c>
      <c r="I42" t="n">
        <v>6</v>
      </c>
      <c r="J42" t="inlineStr">
        <is>
          <t>010-3802-2467</t>
        </is>
      </c>
      <c r="K42" t="inlineStr">
        <is>
          <t>임진아</t>
        </is>
      </c>
      <c r="L42" t="inlineStr">
        <is>
          <t>010-3802-2467</t>
        </is>
      </c>
      <c r="M42" t="inlineStr">
        <is>
          <t>[37586  ] 경북 포항시 북구 법원로40번길 38 (장성동, 롯데낙천대아파트)103동 1003호</t>
        </is>
      </c>
      <c r="N42" t="inlineStr">
        <is>
          <t>그렇지 않다</t>
        </is>
      </c>
      <c r="O42" t="inlineStr">
        <is>
          <t>그렇지 않다</t>
        </is>
      </c>
      <c r="P42" t="inlineStr">
        <is>
          <t>보통이다</t>
        </is>
      </c>
      <c r="Q42" t="inlineStr">
        <is>
          <t>그렇지 않다</t>
        </is>
      </c>
      <c r="R42" t="inlineStr">
        <is>
          <t>보통이다</t>
        </is>
      </c>
      <c r="S42" t="inlineStr">
        <is>
          <t>그렇지 않다</t>
        </is>
      </c>
      <c r="T42" t="inlineStr">
        <is>
          <t>그렇지 않다</t>
        </is>
      </c>
      <c r="U42" t="inlineStr">
        <is>
          <t>(일반)</t>
        </is>
      </c>
    </row>
    <row r="43">
      <c r="A43" t="n">
        <v>41</v>
      </c>
      <c r="B43" t="inlineStr">
        <is>
          <t>초등학교</t>
        </is>
      </c>
      <c r="C43" t="inlineStr">
        <is>
          <t>월수</t>
        </is>
      </c>
      <c r="D43" t="inlineStr">
        <is>
          <t>2 회</t>
        </is>
      </c>
      <c r="E43" t="inlineStr">
        <is>
          <t>박서준</t>
        </is>
      </c>
      <c r="F43" t="inlineStr">
        <is>
          <t>seojun1027</t>
        </is>
      </c>
      <c r="G43" t="inlineStr">
        <is>
          <t>남</t>
        </is>
      </c>
      <c r="H43" t="inlineStr">
        <is>
          <t>한동글로벌학교</t>
        </is>
      </c>
      <c r="I43" t="n">
        <v>5</v>
      </c>
      <c r="J43" t="inlineStr">
        <is>
          <t>010-9093-2865</t>
        </is>
      </c>
      <c r="K43" t="inlineStr">
        <is>
          <t>최세연</t>
        </is>
      </c>
      <c r="L43" t="inlineStr">
        <is>
          <t>010-9093-2865</t>
        </is>
      </c>
      <c r="M43" t="inlineStr">
        <is>
          <t>[37570  ] 경북 포항시 북구 천마로 123 (양덕동, 양덕삼구트리니엔3차)303동 2007호</t>
        </is>
      </c>
      <c r="N43" t="inlineStr">
        <is>
          <t>그렇다</t>
        </is>
      </c>
      <c r="O43" t="inlineStr">
        <is>
          <t>그렇다</t>
        </is>
      </c>
      <c r="P43" t="inlineStr">
        <is>
          <t>그렇다</t>
        </is>
      </c>
      <c r="Q43" t="inlineStr">
        <is>
          <t>그렇지 않다</t>
        </is>
      </c>
      <c r="R43" t="inlineStr">
        <is>
          <t>보통이다</t>
        </is>
      </c>
      <c r="S43" t="inlineStr">
        <is>
          <t>그렇지 않다</t>
        </is>
      </c>
      <c r="T43" t="inlineStr">
        <is>
          <t>보통이다</t>
        </is>
      </c>
      <c r="U43" t="inlineStr">
        <is>
          <t>(일반)</t>
        </is>
      </c>
    </row>
    <row r="44">
      <c r="A44" t="n">
        <v>42</v>
      </c>
      <c r="B44" t="inlineStr">
        <is>
          <t>초등학교</t>
        </is>
      </c>
      <c r="C44" t="inlineStr">
        <is>
          <t>월수</t>
        </is>
      </c>
      <c r="D44" t="inlineStr">
        <is>
          <t>7 회</t>
        </is>
      </c>
      <c r="E44" t="inlineStr">
        <is>
          <t>임현준</t>
        </is>
      </c>
      <c r="F44" t="inlineStr">
        <is>
          <t>bianka0303</t>
        </is>
      </c>
      <c r="G44" t="inlineStr">
        <is>
          <t>남</t>
        </is>
      </c>
      <c r="H44" t="inlineStr">
        <is>
          <t>창포초등학교</t>
        </is>
      </c>
      <c r="I44" t="n">
        <v>6</v>
      </c>
      <c r="J44" t="inlineStr">
        <is>
          <t>010-7303-4502</t>
        </is>
      </c>
      <c r="K44" t="inlineStr">
        <is>
          <t>김효정</t>
        </is>
      </c>
      <c r="L44" t="inlineStr">
        <is>
          <t>010-7303-4502</t>
        </is>
      </c>
      <c r="M44" t="inlineStr">
        <is>
          <t>[37627  ] 경북 포항시 북구 우창로 166 (창포동, 창포메트로시티2단지)209-701</t>
        </is>
      </c>
      <c r="N44" t="inlineStr">
        <is>
          <t>매우 그렇다</t>
        </is>
      </c>
      <c r="O44" t="inlineStr">
        <is>
          <t>매우 그렇다</t>
        </is>
      </c>
      <c r="P44" t="inlineStr">
        <is>
          <t>매우 그렇다</t>
        </is>
      </c>
      <c r="Q44" t="inlineStr">
        <is>
          <t>매우 그렇다</t>
        </is>
      </c>
      <c r="R44" t="inlineStr">
        <is>
          <t>매우 그렇다</t>
        </is>
      </c>
      <c r="S44" t="inlineStr">
        <is>
          <t>매우 그렇다</t>
        </is>
      </c>
      <c r="T44" t="inlineStr">
        <is>
          <t>매우 그렇다</t>
        </is>
      </c>
      <c r="U44" t="inlineStr">
        <is>
          <t>(신청)</t>
        </is>
      </c>
    </row>
    <row r="45">
      <c r="A45" t="n">
        <v>43</v>
      </c>
      <c r="B45" t="inlineStr">
        <is>
          <t>초등학교</t>
        </is>
      </c>
      <c r="C45" t="inlineStr">
        <is>
          <t>화목</t>
        </is>
      </c>
      <c r="D45" t="inlineStr">
        <is>
          <t>4 회</t>
        </is>
      </c>
      <c r="E45" t="inlineStr">
        <is>
          <t>양규진</t>
        </is>
      </c>
      <c r="F45" t="inlineStr">
        <is>
          <t>yanggyujin</t>
        </is>
      </c>
      <c r="G45" t="inlineStr">
        <is>
          <t>남</t>
        </is>
      </c>
      <c r="H45" t="inlineStr">
        <is>
          <t>포항제철지곡초등학교</t>
        </is>
      </c>
      <c r="I45" t="n">
        <v>5</v>
      </c>
      <c r="J45" t="inlineStr">
        <is>
          <t>010-2108-6476</t>
        </is>
      </c>
      <c r="K45" t="inlineStr">
        <is>
          <t>옥민지</t>
        </is>
      </c>
      <c r="L45" t="inlineStr">
        <is>
          <t>010-2108-6476</t>
        </is>
      </c>
      <c r="M45" t="inlineStr">
        <is>
          <t>[37669  ] 경북 포항시 남구 지곡로 294 (지곡동, 효자그린아파트)228동 1001호</t>
        </is>
      </c>
      <c r="N45" t="inlineStr">
        <is>
          <t>그렇다</t>
        </is>
      </c>
      <c r="O45" t="inlineStr">
        <is>
          <t>그렇다</t>
        </is>
      </c>
      <c r="P45" t="inlineStr">
        <is>
          <t>그렇다</t>
        </is>
      </c>
      <c r="Q45" t="inlineStr">
        <is>
          <t>그렇다</t>
        </is>
      </c>
      <c r="R45" t="inlineStr">
        <is>
          <t>그렇다</t>
        </is>
      </c>
      <c r="S45" t="inlineStr">
        <is>
          <t>그렇다</t>
        </is>
      </c>
      <c r="T45" t="inlineStr">
        <is>
          <t>그렇다</t>
        </is>
      </c>
      <c r="U45" t="inlineStr">
        <is>
          <t>(일반)</t>
        </is>
      </c>
    </row>
    <row r="46">
      <c r="A46" t="n">
        <v>44</v>
      </c>
      <c r="B46" t="inlineStr">
        <is>
          <t>초등학교</t>
        </is>
      </c>
      <c r="C46" t="inlineStr">
        <is>
          <t>화목</t>
        </is>
      </c>
      <c r="D46" t="inlineStr">
        <is>
          <t>3 회</t>
        </is>
      </c>
      <c r="E46" t="inlineStr">
        <is>
          <t>송서안</t>
        </is>
      </c>
      <c r="F46" t="inlineStr">
        <is>
          <t>seoan77</t>
        </is>
      </c>
      <c r="G46" t="inlineStr">
        <is>
          <t>남</t>
        </is>
      </c>
      <c r="H46" t="inlineStr">
        <is>
          <t>포항제철지곡초등학교</t>
        </is>
      </c>
      <c r="I46" t="n">
        <v>5</v>
      </c>
      <c r="J46" t="inlineStr">
        <is>
          <t>010-4813-0448</t>
        </is>
      </c>
      <c r="K46" t="inlineStr">
        <is>
          <t>서선희</t>
        </is>
      </c>
      <c r="L46" t="inlineStr">
        <is>
          <t>010-4872-0448</t>
        </is>
      </c>
      <c r="M46" t="inlineStr">
        <is>
          <t>[37671  ] 경북 포항시 남구 지곡로 319 (지곡동, 그린빌라)316-401</t>
        </is>
      </c>
      <c r="N46" t="inlineStr">
        <is>
          <t>그렇지 않다</t>
        </is>
      </c>
      <c r="O46" t="inlineStr">
        <is>
          <t>그렇지 않다</t>
        </is>
      </c>
      <c r="P46" t="inlineStr">
        <is>
          <t>그렇지 않다</t>
        </is>
      </c>
      <c r="Q46" t="inlineStr">
        <is>
          <t>그렇지 않다</t>
        </is>
      </c>
      <c r="R46" t="inlineStr">
        <is>
          <t>그렇지 않다</t>
        </is>
      </c>
      <c r="S46" t="inlineStr">
        <is>
          <t>그렇지 않다</t>
        </is>
      </c>
      <c r="T46" t="inlineStr">
        <is>
          <t>그렇지 않다</t>
        </is>
      </c>
      <c r="U46" t="inlineStr">
        <is>
          <t>(일반)</t>
        </is>
      </c>
    </row>
    <row r="47">
      <c r="A47" t="n">
        <v>45</v>
      </c>
      <c r="B47" t="inlineStr">
        <is>
          <t>초등학교</t>
        </is>
      </c>
      <c r="C47" t="inlineStr">
        <is>
          <t>월수</t>
        </is>
      </c>
      <c r="D47" t="inlineStr">
        <is>
          <t>1 회</t>
        </is>
      </c>
      <c r="E47" t="inlineStr">
        <is>
          <t>이서윤</t>
        </is>
      </c>
      <c r="F47" t="inlineStr">
        <is>
          <t>seoyun2016</t>
        </is>
      </c>
      <c r="G47" t="inlineStr">
        <is>
          <t>여</t>
        </is>
      </c>
      <c r="H47" t="inlineStr">
        <is>
          <t>포항제철초등학교</t>
        </is>
      </c>
      <c r="I47" t="n">
        <v>4</v>
      </c>
      <c r="J47" t="inlineStr">
        <is>
          <t>010-4820-4085</t>
        </is>
      </c>
      <c r="K47" t="inlineStr">
        <is>
          <t>정수미</t>
        </is>
      </c>
      <c r="L47" t="inlineStr">
        <is>
          <t>010-4820-4085</t>
        </is>
      </c>
      <c r="M47" t="inlineStr">
        <is>
          <t>[37666  ] 경북 포항시 남구 지곡로 102 (지곡동, 낙원아파트)7동701호</t>
        </is>
      </c>
      <c r="N47" t="inlineStr">
        <is>
          <t>그렇지 않다</t>
        </is>
      </c>
      <c r="O47" t="inlineStr">
        <is>
          <t>그렇지 않다</t>
        </is>
      </c>
      <c r="P47" t="inlineStr">
        <is>
          <t>그렇지 않다</t>
        </is>
      </c>
      <c r="Q47" t="inlineStr">
        <is>
          <t>그렇지 않다</t>
        </is>
      </c>
      <c r="R47" t="inlineStr">
        <is>
          <t>그렇지 않다</t>
        </is>
      </c>
      <c r="S47" t="inlineStr">
        <is>
          <t>그렇지 않다</t>
        </is>
      </c>
      <c r="T47" t="inlineStr">
        <is>
          <t>그렇지 않다</t>
        </is>
      </c>
      <c r="U47" t="inlineStr">
        <is>
          <t>(일반)</t>
        </is>
      </c>
    </row>
    <row r="48">
      <c r="A48" t="n">
        <v>46</v>
      </c>
      <c r="B48" t="inlineStr">
        <is>
          <t>초등학교</t>
        </is>
      </c>
      <c r="C48" t="inlineStr">
        <is>
          <t>화목</t>
        </is>
      </c>
      <c r="D48" t="inlineStr">
        <is>
          <t>1 회</t>
        </is>
      </c>
      <c r="E48" t="inlineStr">
        <is>
          <t>김재준</t>
        </is>
      </c>
      <c r="F48" t="inlineStr">
        <is>
          <t>jaejun15</t>
        </is>
      </c>
      <c r="G48" t="inlineStr">
        <is>
          <t>여</t>
        </is>
      </c>
      <c r="H48" t="inlineStr">
        <is>
          <t>대잠초등학교</t>
        </is>
      </c>
      <c r="I48" t="n">
        <v>5</v>
      </c>
      <c r="J48" t="inlineStr">
        <is>
          <t>010-9097-1812</t>
        </is>
      </c>
      <c r="K48" t="inlineStr">
        <is>
          <t>조영희</t>
        </is>
      </c>
      <c r="L48" t="inlineStr">
        <is>
          <t>010-9097-1812</t>
        </is>
      </c>
      <c r="M48" t="inlineStr">
        <is>
          <t>[37756  ] 경북 포항시 북구 중흥로171번길 37-6 (죽도동)1층</t>
        </is>
      </c>
      <c r="N48" t="inlineStr">
        <is>
          <t>그렇다</t>
        </is>
      </c>
      <c r="O48" t="inlineStr">
        <is>
          <t>그렇다</t>
        </is>
      </c>
      <c r="P48" t="inlineStr">
        <is>
          <t>그렇다</t>
        </is>
      </c>
      <c r="Q48" t="inlineStr">
        <is>
          <t>보통이다</t>
        </is>
      </c>
      <c r="R48" t="inlineStr">
        <is>
          <t>보통이다</t>
        </is>
      </c>
      <c r="S48" t="inlineStr">
        <is>
          <t>그렇다</t>
        </is>
      </c>
      <c r="T48" t="inlineStr">
        <is>
          <t>보통이다</t>
        </is>
      </c>
      <c r="U48" t="inlineStr">
        <is>
          <t>(일반)</t>
        </is>
      </c>
    </row>
    <row r="49">
      <c r="A49" t="n">
        <v>47</v>
      </c>
      <c r="B49" t="inlineStr">
        <is>
          <t>초등학교</t>
        </is>
      </c>
      <c r="C49" t="inlineStr">
        <is>
          <t>화목</t>
        </is>
      </c>
      <c r="D49" t="inlineStr">
        <is>
          <t>1 회</t>
        </is>
      </c>
      <c r="E49" t="inlineStr">
        <is>
          <t>박서연</t>
        </is>
      </c>
      <c r="F49" t="inlineStr">
        <is>
          <t>seoyeon1</t>
        </is>
      </c>
      <c r="G49" t="inlineStr">
        <is>
          <t>여</t>
        </is>
      </c>
      <c r="H49" t="inlineStr">
        <is>
          <t>양학초등학교</t>
        </is>
      </c>
      <c r="I49" t="n">
        <v>5</v>
      </c>
      <c r="J49" t="inlineStr">
        <is>
          <t>010-9983-3262</t>
        </is>
      </c>
      <c r="K49" t="inlineStr">
        <is>
          <t>박영식</t>
        </is>
      </c>
      <c r="L49" t="inlineStr">
        <is>
          <t>010-6735-3262</t>
        </is>
      </c>
      <c r="M49" t="inlineStr">
        <is>
          <t>[37695  ] 경북 포항시 북구 득량길 20 (득량동, 양학 도뮤토 아파트)106-103</t>
        </is>
      </c>
      <c r="N49" t="inlineStr">
        <is>
          <t>매우 그렇다</t>
        </is>
      </c>
      <c r="O49" t="inlineStr">
        <is>
          <t>매우 그렇다</t>
        </is>
      </c>
      <c r="P49" t="inlineStr">
        <is>
          <t>매우 그렇다</t>
        </is>
      </c>
      <c r="Q49" t="inlineStr">
        <is>
          <t>매우 그렇다</t>
        </is>
      </c>
      <c r="R49" t="inlineStr">
        <is>
          <t>매우 그렇다</t>
        </is>
      </c>
      <c r="S49" t="inlineStr">
        <is>
          <t>매우 그렇다</t>
        </is>
      </c>
      <c r="T49" t="inlineStr">
        <is>
          <t>매우 그렇다</t>
        </is>
      </c>
      <c r="U49" t="inlineStr">
        <is>
          <t>(일반)</t>
        </is>
      </c>
    </row>
    <row r="50">
      <c r="A50" t="n">
        <v>48</v>
      </c>
      <c r="B50" t="inlineStr">
        <is>
          <t>초등학교</t>
        </is>
      </c>
      <c r="C50" t="inlineStr">
        <is>
          <t>화목</t>
        </is>
      </c>
      <c r="D50" t="inlineStr">
        <is>
          <t>1 회</t>
        </is>
      </c>
      <c r="E50" t="inlineStr">
        <is>
          <t>장재웅</t>
        </is>
      </c>
      <c r="F50" t="inlineStr">
        <is>
          <t>jjang0314</t>
        </is>
      </c>
      <c r="G50" t="inlineStr">
        <is>
          <t>남</t>
        </is>
      </c>
      <c r="H50" t="inlineStr">
        <is>
          <t>이동초등학교</t>
        </is>
      </c>
      <c r="I50" t="n">
        <v>5</v>
      </c>
      <c r="J50" t="inlineStr">
        <is>
          <t>010-9904-1208</t>
        </is>
      </c>
      <c r="K50" t="inlineStr">
        <is>
          <t>유예정</t>
        </is>
      </c>
      <c r="L50" t="inlineStr">
        <is>
          <t>010-9904-1208</t>
        </is>
      </c>
      <c r="M50" t="inlineStr">
        <is>
          <t>[37677  ] 경북 포항시 남구 대이로 138 (이동, 그린빌명품아파트)102동1109호</t>
        </is>
      </c>
      <c r="N50" t="inlineStr">
        <is>
          <t>매우 그렇다</t>
        </is>
      </c>
      <c r="O50" t="inlineStr">
        <is>
          <t>매우 그렇다</t>
        </is>
      </c>
      <c r="P50" t="inlineStr">
        <is>
          <t>매우 그렇다</t>
        </is>
      </c>
      <c r="Q50" t="inlineStr">
        <is>
          <t>매우 그렇다</t>
        </is>
      </c>
      <c r="R50" t="inlineStr">
        <is>
          <t>보통이다</t>
        </is>
      </c>
      <c r="S50" t="inlineStr">
        <is>
          <t>보통이다</t>
        </is>
      </c>
      <c r="T50" t="inlineStr">
        <is>
          <t>보통이다</t>
        </is>
      </c>
      <c r="U50" t="inlineStr">
        <is>
          <t>(일반)</t>
        </is>
      </c>
    </row>
    <row r="51">
      <c r="A51" t="n">
        <v>49</v>
      </c>
      <c r="B51" t="inlineStr">
        <is>
          <t>초등학교</t>
        </is>
      </c>
      <c r="C51" t="inlineStr">
        <is>
          <t>월수</t>
        </is>
      </c>
      <c r="D51" t="inlineStr">
        <is>
          <t>1 회</t>
        </is>
      </c>
      <c r="E51" t="inlineStr">
        <is>
          <t>서강민</t>
        </is>
      </c>
      <c r="F51" t="inlineStr">
        <is>
          <t>eueu133</t>
        </is>
      </c>
      <c r="G51" t="inlineStr">
        <is>
          <t>남</t>
        </is>
      </c>
      <c r="H51" t="inlineStr">
        <is>
          <t>초곡초등학교</t>
        </is>
      </c>
      <c r="I51" t="n">
        <v>5</v>
      </c>
      <c r="J51" t="inlineStr">
        <is>
          <t>010-5588-0147</t>
        </is>
      </c>
      <c r="K51" t="inlineStr">
        <is>
          <t>오예라</t>
        </is>
      </c>
      <c r="L51" t="inlineStr">
        <is>
          <t>010-5588-0147</t>
        </is>
      </c>
      <c r="M51" t="inlineStr">
        <is>
          <t>[37560  ] 경북 포항시 북구 흥해읍 초곡지구로58번길 65-9 (초곡리, 초곡리슈빌)101동2903호</t>
        </is>
      </c>
      <c r="N51" t="inlineStr">
        <is>
          <t>보통이다</t>
        </is>
      </c>
      <c r="O51" t="inlineStr">
        <is>
          <t>보통이다</t>
        </is>
      </c>
      <c r="P51" t="inlineStr">
        <is>
          <t>보통이다</t>
        </is>
      </c>
      <c r="Q51" t="inlineStr">
        <is>
          <t>보통이다</t>
        </is>
      </c>
      <c r="R51" t="inlineStr">
        <is>
          <t>보통이다</t>
        </is>
      </c>
      <c r="S51" t="inlineStr">
        <is>
          <t>보통이다</t>
        </is>
      </c>
      <c r="T51" t="inlineStr">
        <is>
          <t>보통이다</t>
        </is>
      </c>
      <c r="U51" t="inlineStr">
        <is>
          <t>(일반)</t>
        </is>
      </c>
    </row>
    <row r="52">
      <c r="A52" t="n">
        <v>50</v>
      </c>
      <c r="B52" t="inlineStr">
        <is>
          <t>초등학교</t>
        </is>
      </c>
      <c r="C52" t="inlineStr">
        <is>
          <t>화목</t>
        </is>
      </c>
      <c r="D52" t="inlineStr">
        <is>
          <t>1 회</t>
        </is>
      </c>
      <c r="E52" t="inlineStr">
        <is>
          <t>박태준</t>
        </is>
      </c>
      <c r="F52" t="inlineStr">
        <is>
          <t>taejun1</t>
        </is>
      </c>
      <c r="G52" t="inlineStr">
        <is>
          <t>남</t>
        </is>
      </c>
      <c r="H52" t="inlineStr">
        <is>
          <t>양학초등학교</t>
        </is>
      </c>
      <c r="I52" t="n">
        <v>5</v>
      </c>
      <c r="J52" t="inlineStr">
        <is>
          <t>010-6735-3262</t>
        </is>
      </c>
      <c r="K52" t="inlineStr">
        <is>
          <t>박영식</t>
        </is>
      </c>
      <c r="L52" t="inlineStr">
        <is>
          <t>010-6735-3262</t>
        </is>
      </c>
      <c r="M52" t="inlineStr">
        <is>
          <t>[37695  ] 경북 포항시 북구 득량길 20 (득량동, 양학 도뮤토 아파트)106-103</t>
        </is>
      </c>
      <c r="N52" t="inlineStr">
        <is>
          <t>매우 그렇다</t>
        </is>
      </c>
      <c r="O52" t="inlineStr">
        <is>
          <t>매우 그렇다</t>
        </is>
      </c>
      <c r="P52" t="inlineStr">
        <is>
          <t>매우 그렇다</t>
        </is>
      </c>
      <c r="Q52" t="inlineStr">
        <is>
          <t>매우 그렇다</t>
        </is>
      </c>
      <c r="R52" t="inlineStr">
        <is>
          <t>매우 그렇다</t>
        </is>
      </c>
      <c r="S52" t="inlineStr">
        <is>
          <t>매우 그렇다</t>
        </is>
      </c>
      <c r="T52" t="inlineStr">
        <is>
          <t>매우 그렇다</t>
        </is>
      </c>
      <c r="U52" t="inlineStr">
        <is>
          <t>(일반)</t>
        </is>
      </c>
    </row>
    <row r="53">
      <c r="A53" t="n">
        <v>51</v>
      </c>
      <c r="B53" t="inlineStr">
        <is>
          <t>초등학교</t>
        </is>
      </c>
      <c r="C53" t="inlineStr">
        <is>
          <t>월수</t>
        </is>
      </c>
      <c r="D53" t="inlineStr">
        <is>
          <t>6 회</t>
        </is>
      </c>
      <c r="E53" t="inlineStr">
        <is>
          <t>김나현</t>
        </is>
      </c>
      <c r="F53" t="inlineStr">
        <is>
          <t>say0704</t>
        </is>
      </c>
      <c r="G53" t="inlineStr">
        <is>
          <t>여</t>
        </is>
      </c>
      <c r="H53" t="inlineStr">
        <is>
          <t>초곡초등학교</t>
        </is>
      </c>
      <c r="I53" t="n">
        <v>6</v>
      </c>
      <c r="J53" t="inlineStr">
        <is>
          <t>010-2712-8737</t>
        </is>
      </c>
      <c r="K53" t="inlineStr">
        <is>
          <t>김미정</t>
        </is>
      </c>
      <c r="L53" t="inlineStr">
        <is>
          <t>010-2712-8737</t>
        </is>
      </c>
      <c r="M53" t="inlineStr">
        <is>
          <t>[37560  ] 경북 포항시 북구 흥해읍 초곡지구로58번길 65-9 (초곡리, 초곡리슈빌)101-2601</t>
        </is>
      </c>
      <c r="N53" t="inlineStr">
        <is>
          <t>보통이다</t>
        </is>
      </c>
      <c r="O53" t="inlineStr">
        <is>
          <t>보통이다</t>
        </is>
      </c>
      <c r="P53" t="inlineStr">
        <is>
          <t>보통이다</t>
        </is>
      </c>
      <c r="Q53" t="inlineStr">
        <is>
          <t>보통이다</t>
        </is>
      </c>
      <c r="R53" t="inlineStr">
        <is>
          <t>보통이다</t>
        </is>
      </c>
      <c r="S53" t="inlineStr">
        <is>
          <t>보통이다</t>
        </is>
      </c>
      <c r="T53" t="inlineStr">
        <is>
          <t>보통이다</t>
        </is>
      </c>
      <c r="U53" t="inlineStr">
        <is>
          <t>(일반)</t>
        </is>
      </c>
    </row>
    <row r="54">
      <c r="A54" t="n">
        <v>52</v>
      </c>
      <c r="B54" t="inlineStr">
        <is>
          <t>초등학교</t>
        </is>
      </c>
      <c r="C54" t="inlineStr">
        <is>
          <t>월수</t>
        </is>
      </c>
      <c r="D54" t="inlineStr">
        <is>
          <t>4 회</t>
        </is>
      </c>
      <c r="E54" t="inlineStr">
        <is>
          <t>송시원</t>
        </is>
      </c>
      <c r="F54" t="inlineStr">
        <is>
          <t>derica84</t>
        </is>
      </c>
      <c r="G54" t="inlineStr">
        <is>
          <t>남</t>
        </is>
      </c>
      <c r="H54" t="inlineStr">
        <is>
          <t>초곡초등학교</t>
        </is>
      </c>
      <c r="I54" t="n">
        <v>5</v>
      </c>
      <c r="J54" t="inlineStr">
        <is>
          <t>010-3127-4611</t>
        </is>
      </c>
      <c r="K54" t="inlineStr">
        <is>
          <t>양성미</t>
        </is>
      </c>
      <c r="L54" t="inlineStr">
        <is>
          <t>010-3127-4611</t>
        </is>
      </c>
      <c r="M54" t="inlineStr">
        <is>
          <t>[37560  ] 경북 포항시 북구 흥해읍 초곡지구로58번길 52 (초곡리, 초곡삼구트리니엔 시티)116동2405호</t>
        </is>
      </c>
      <c r="N54" t="inlineStr">
        <is>
          <t>보통이다</t>
        </is>
      </c>
      <c r="O54" t="inlineStr">
        <is>
          <t>보통이다</t>
        </is>
      </c>
      <c r="P54" t="inlineStr">
        <is>
          <t>보통이다</t>
        </is>
      </c>
      <c r="Q54" t="inlineStr">
        <is>
          <t>보통이다</t>
        </is>
      </c>
      <c r="R54" t="inlineStr">
        <is>
          <t>그렇지 않다</t>
        </is>
      </c>
      <c r="S54" t="inlineStr">
        <is>
          <t>그렇지 않다</t>
        </is>
      </c>
      <c r="T54" t="inlineStr">
        <is>
          <t>보통이다</t>
        </is>
      </c>
      <c r="U54" t="inlineStr">
        <is>
          <t>(일반)</t>
        </is>
      </c>
    </row>
    <row r="55">
      <c r="A55" t="n">
        <v>53</v>
      </c>
      <c r="B55" t="inlineStr">
        <is>
          <t>초등학교</t>
        </is>
      </c>
      <c r="C55" t="inlineStr">
        <is>
          <t>월수</t>
        </is>
      </c>
      <c r="D55" t="inlineStr">
        <is>
          <t>1 회</t>
        </is>
      </c>
      <c r="E55" t="inlineStr">
        <is>
          <t>정하민</t>
        </is>
      </c>
      <c r="F55" t="inlineStr">
        <is>
          <t>lovemin815</t>
        </is>
      </c>
      <c r="G55" t="inlineStr">
        <is>
          <t>남</t>
        </is>
      </c>
      <c r="H55" t="inlineStr">
        <is>
          <t>장량초등학교</t>
        </is>
      </c>
      <c r="I55" t="n">
        <v>4</v>
      </c>
      <c r="J55" t="inlineStr">
        <is>
          <t>010-6686-7020</t>
        </is>
      </c>
      <c r="K55" t="inlineStr">
        <is>
          <t>정진서</t>
        </is>
      </c>
      <c r="L55" t="inlineStr">
        <is>
          <t>010-6686-7020</t>
        </is>
      </c>
      <c r="M55" t="inlineStr">
        <is>
          <t>[37584  ] 경북 포항시 북구 새천년대로 1235 (장성동, 두산 위브 더 제니스)109동 2106호</t>
        </is>
      </c>
      <c r="N55" t="inlineStr">
        <is>
          <t>그렇다</t>
        </is>
      </c>
      <c r="O55" t="inlineStr">
        <is>
          <t>그렇다</t>
        </is>
      </c>
      <c r="P55" t="inlineStr">
        <is>
          <t>그렇다</t>
        </is>
      </c>
      <c r="Q55" t="inlineStr">
        <is>
          <t>그렇다</t>
        </is>
      </c>
      <c r="R55" t="inlineStr">
        <is>
          <t>그렇지 않다</t>
        </is>
      </c>
      <c r="S55" t="inlineStr">
        <is>
          <t>그렇지 않다</t>
        </is>
      </c>
      <c r="T55" t="inlineStr">
        <is>
          <t>보통이다</t>
        </is>
      </c>
      <c r="U55" t="inlineStr">
        <is>
          <t>(신청)</t>
        </is>
      </c>
    </row>
    <row r="56">
      <c r="A56" t="n">
        <v>54</v>
      </c>
      <c r="B56" t="inlineStr">
        <is>
          <t>초등학교</t>
        </is>
      </c>
      <c r="C56" t="inlineStr">
        <is>
          <t>화목</t>
        </is>
      </c>
      <c r="D56" t="inlineStr">
        <is>
          <t>1 회</t>
        </is>
      </c>
      <c r="E56" t="inlineStr">
        <is>
          <t>이상윤</t>
        </is>
      </c>
      <c r="F56" t="inlineStr">
        <is>
          <t>lsylsy17</t>
        </is>
      </c>
      <c r="G56" t="inlineStr">
        <is>
          <t>남</t>
        </is>
      </c>
      <c r="H56" t="inlineStr">
        <is>
          <t>포항장흥초등학교</t>
        </is>
      </c>
      <c r="I56" t="n">
        <v>4</v>
      </c>
      <c r="J56" t="inlineStr">
        <is>
          <t>010-8033-4541</t>
        </is>
      </c>
      <c r="K56" t="inlineStr">
        <is>
          <t>이규현</t>
        </is>
      </c>
      <c r="L56" t="inlineStr">
        <is>
          <t>010-8033-4541</t>
        </is>
      </c>
      <c r="M56" t="inlineStr">
        <is>
          <t>[37586  ] 경북 포항시 북구 법원로40번길 38 (장성동, 롯데낙천대아파트)104동 603호</t>
        </is>
      </c>
      <c r="N56" t="inlineStr">
        <is>
          <t>전혀 그렇지 않다</t>
        </is>
      </c>
      <c r="O56" t="inlineStr">
        <is>
          <t>보통이다</t>
        </is>
      </c>
      <c r="P56" t="inlineStr">
        <is>
          <t>보통이다</t>
        </is>
      </c>
      <c r="Q56" t="inlineStr">
        <is>
          <t>그렇지 않다</t>
        </is>
      </c>
      <c r="R56" t="inlineStr">
        <is>
          <t>보통이다</t>
        </is>
      </c>
      <c r="S56" t="inlineStr">
        <is>
          <t>그렇지 않다</t>
        </is>
      </c>
      <c r="T56" t="inlineStr">
        <is>
          <t>보통이다</t>
        </is>
      </c>
      <c r="U56" t="inlineStr">
        <is>
          <t>(일반)</t>
        </is>
      </c>
    </row>
    <row r="57">
      <c r="A57" t="n">
        <v>55</v>
      </c>
      <c r="B57" t="inlineStr">
        <is>
          <t>초등학교</t>
        </is>
      </c>
      <c r="C57" t="inlineStr">
        <is>
          <t>월수</t>
        </is>
      </c>
      <c r="D57" t="inlineStr">
        <is>
          <t>1 회</t>
        </is>
      </c>
      <c r="E57" t="inlineStr">
        <is>
          <t>정주환</t>
        </is>
      </c>
      <c r="F57" t="inlineStr">
        <is>
          <t>jade2016</t>
        </is>
      </c>
      <c r="G57" t="inlineStr">
        <is>
          <t>남</t>
        </is>
      </c>
      <c r="H57" t="inlineStr">
        <is>
          <t>포항제철지곡초등학교</t>
        </is>
      </c>
      <c r="I57" t="n">
        <v>4</v>
      </c>
      <c r="J57" t="inlineStr">
        <is>
          <t>010-9965-5888</t>
        </is>
      </c>
      <c r="K57" t="inlineStr">
        <is>
          <t>전애련</t>
        </is>
      </c>
      <c r="L57" t="inlineStr">
        <is>
          <t>010-9965-5888</t>
        </is>
      </c>
      <c r="M57" t="inlineStr">
        <is>
          <t>[37669  ] 경북 포항시 남구 지곡로 278 (지곡동, 효자그린아파트)201동401호</t>
        </is>
      </c>
      <c r="N57" t="inlineStr">
        <is>
          <t>보통이다</t>
        </is>
      </c>
      <c r="O57" t="inlineStr">
        <is>
          <t>전혀 그렇지 않다</t>
        </is>
      </c>
      <c r="P57" t="inlineStr">
        <is>
          <t>전혀 그렇지 않다</t>
        </is>
      </c>
      <c r="Q57" t="inlineStr">
        <is>
          <t>그렇지 않다</t>
        </is>
      </c>
      <c r="R57" t="inlineStr">
        <is>
          <t>전혀 그렇지 않다</t>
        </is>
      </c>
      <c r="S57" t="inlineStr">
        <is>
          <t>전혀 그렇지 않다</t>
        </is>
      </c>
      <c r="T57" t="inlineStr">
        <is>
          <t>그렇지 않다</t>
        </is>
      </c>
      <c r="U57" t="inlineStr">
        <is>
          <t>(신청)</t>
        </is>
      </c>
    </row>
    <row r="58">
      <c r="A58" t="n">
        <v>56</v>
      </c>
      <c r="B58" t="inlineStr">
        <is>
          <t>초등학교</t>
        </is>
      </c>
      <c r="C58" t="inlineStr">
        <is>
          <t>월수</t>
        </is>
      </c>
      <c r="D58" t="inlineStr">
        <is>
          <t>1 회</t>
        </is>
      </c>
      <c r="E58" t="inlineStr">
        <is>
          <t>신이슬</t>
        </is>
      </c>
      <c r="F58" t="inlineStr">
        <is>
          <t>yiseul9374</t>
        </is>
      </c>
      <c r="G58" t="inlineStr">
        <is>
          <t>여</t>
        </is>
      </c>
      <c r="H58" t="inlineStr">
        <is>
          <t>포항용산초등학교</t>
        </is>
      </c>
      <c r="I58" t="n">
        <v>6</v>
      </c>
      <c r="J58" t="inlineStr">
        <is>
          <t>010-5008-9103</t>
        </is>
      </c>
      <c r="K58" t="inlineStr">
        <is>
          <t>공영숙</t>
        </is>
      </c>
      <c r="L58" t="inlineStr">
        <is>
          <t>010-9374-9103</t>
        </is>
      </c>
      <c r="M58" t="inlineStr">
        <is>
          <t>[37917  ] 경북 포항시 남구 오천읍 해병로559번길 7 (용산리, 포항아이파크)107-1105</t>
        </is>
      </c>
      <c r="N58" t="inlineStr">
        <is>
          <t>전혀 그렇지 않다</t>
        </is>
      </c>
      <c r="O58" t="inlineStr">
        <is>
          <t>전혀 그렇지 않다</t>
        </is>
      </c>
      <c r="P58" t="inlineStr">
        <is>
          <t>전혀 그렇지 않다</t>
        </is>
      </c>
      <c r="Q58" t="inlineStr">
        <is>
          <t>전혀 그렇지 않다</t>
        </is>
      </c>
      <c r="R58" t="inlineStr">
        <is>
          <t>전혀 그렇지 않다</t>
        </is>
      </c>
      <c r="S58" t="inlineStr">
        <is>
          <t>전혀 그렇지 않다</t>
        </is>
      </c>
      <c r="T58" t="inlineStr">
        <is>
          <t>전혀 그렇지 않다</t>
        </is>
      </c>
      <c r="U58" t="inlineStr">
        <is>
          <t>(일반)</t>
        </is>
      </c>
    </row>
    <row r="59">
      <c r="A59" t="n">
        <v>57</v>
      </c>
      <c r="B59" t="inlineStr">
        <is>
          <t>초등학교</t>
        </is>
      </c>
      <c r="C59" t="inlineStr">
        <is>
          <t>화목</t>
        </is>
      </c>
      <c r="D59" t="inlineStr">
        <is>
          <t>1 회</t>
        </is>
      </c>
      <c r="E59" t="inlineStr">
        <is>
          <t>권아현</t>
        </is>
      </c>
      <c r="F59" t="inlineStr">
        <is>
          <t>kah160530</t>
        </is>
      </c>
      <c r="G59" t="inlineStr">
        <is>
          <t>여</t>
        </is>
      </c>
      <c r="H59" t="inlineStr">
        <is>
          <t>포항해맞이초등학교</t>
        </is>
      </c>
      <c r="I59" t="n">
        <v>4</v>
      </c>
      <c r="J59" t="inlineStr">
        <is>
          <t>010-8854-2359</t>
        </is>
      </c>
      <c r="K59" t="inlineStr">
        <is>
          <t>박소희</t>
        </is>
      </c>
      <c r="L59" t="inlineStr">
        <is>
          <t>010-8854-2359</t>
        </is>
      </c>
      <c r="M59" t="inlineStr">
        <is>
          <t>[37604  ] 경북 포항시 북구 삼호로 391 (환호동, 환호해맞이그린빌)해맞이그린빌 101동1904호</t>
        </is>
      </c>
      <c r="N59" t="inlineStr">
        <is>
          <t>전혀 그렇지 않다</t>
        </is>
      </c>
      <c r="O59" t="inlineStr">
        <is>
          <t>전혀 그렇지 않다</t>
        </is>
      </c>
      <c r="P59" t="inlineStr">
        <is>
          <t>전혀 그렇지 않다</t>
        </is>
      </c>
      <c r="Q59" t="inlineStr">
        <is>
          <t>전혀 그렇지 않다</t>
        </is>
      </c>
      <c r="R59" t="inlineStr">
        <is>
          <t>전혀 그렇지 않다</t>
        </is>
      </c>
      <c r="S59" t="inlineStr">
        <is>
          <t>전혀 그렇지 않다</t>
        </is>
      </c>
      <c r="T59" t="inlineStr">
        <is>
          <t>전혀 그렇지 않다</t>
        </is>
      </c>
      <c r="U59" t="inlineStr">
        <is>
          <t>(일반)</t>
        </is>
      </c>
    </row>
    <row r="60">
      <c r="A60" t="n">
        <v>58</v>
      </c>
      <c r="B60" t="inlineStr">
        <is>
          <t>초등학교</t>
        </is>
      </c>
      <c r="C60" t="inlineStr">
        <is>
          <t>월수</t>
        </is>
      </c>
      <c r="D60" t="inlineStr">
        <is>
          <t>7 회</t>
        </is>
      </c>
      <c r="E60" t="inlineStr">
        <is>
          <t>정하율</t>
        </is>
      </c>
      <c r="F60" t="inlineStr">
        <is>
          <t>loveyul227</t>
        </is>
      </c>
      <c r="G60" t="inlineStr">
        <is>
          <t>남</t>
        </is>
      </c>
      <c r="H60" t="inlineStr">
        <is>
          <t>장량초등학교</t>
        </is>
      </c>
      <c r="I60" t="n">
        <v>6</v>
      </c>
      <c r="J60" t="inlineStr">
        <is>
          <t>010-9151-7655</t>
        </is>
      </c>
      <c r="K60" t="inlineStr">
        <is>
          <t>마애리</t>
        </is>
      </c>
      <c r="L60" t="inlineStr">
        <is>
          <t>010-8650-7655</t>
        </is>
      </c>
      <c r="M60" t="inlineStr">
        <is>
          <t>[37584  ] 경북 포항시 북구 새천년대로 1235 (장성동, 두산 위브 더 제니스)109-2106</t>
        </is>
      </c>
      <c r="N60" t="inlineStr">
        <is>
          <t>그렇다</t>
        </is>
      </c>
      <c r="O60" t="inlineStr">
        <is>
          <t>그렇다</t>
        </is>
      </c>
      <c r="P60" t="inlineStr">
        <is>
          <t>그렇다</t>
        </is>
      </c>
      <c r="Q60" t="inlineStr">
        <is>
          <t>그렇다</t>
        </is>
      </c>
      <c r="R60" t="inlineStr">
        <is>
          <t>보통이다</t>
        </is>
      </c>
      <c r="S60" t="inlineStr">
        <is>
          <t>보통이다</t>
        </is>
      </c>
      <c r="T60" t="inlineStr">
        <is>
          <t>보통이다</t>
        </is>
      </c>
      <c r="U60" t="inlineStr">
        <is>
          <t>(신청)</t>
        </is>
      </c>
    </row>
    <row r="61">
      <c r="A61" t="n">
        <v>59</v>
      </c>
      <c r="B61" t="inlineStr">
        <is>
          <t>초등학교</t>
        </is>
      </c>
      <c r="C61" t="inlineStr">
        <is>
          <t>월수</t>
        </is>
      </c>
      <c r="D61" t="inlineStr">
        <is>
          <t>1 회</t>
        </is>
      </c>
      <c r="E61" t="inlineStr">
        <is>
          <t>김태현</t>
        </is>
      </c>
      <c r="F61" t="inlineStr">
        <is>
          <t>hellogell</t>
        </is>
      </c>
      <c r="G61" t="inlineStr">
        <is>
          <t>남</t>
        </is>
      </c>
      <c r="H61" t="inlineStr">
        <is>
          <t>초곡초등학교</t>
        </is>
      </c>
      <c r="I61" t="n">
        <v>4</v>
      </c>
      <c r="J61" t="inlineStr">
        <is>
          <t>010-9354-9123</t>
        </is>
      </c>
      <c r="K61" t="inlineStr">
        <is>
          <t>이윤정</t>
        </is>
      </c>
      <c r="L61" t="inlineStr">
        <is>
          <t>010-9354-9123</t>
        </is>
      </c>
      <c r="M61" t="inlineStr">
        <is>
          <t>[37560  ] 경북 포항시 북구 흥해읍 초곡지구로58번길 52 (초곡리, 초곡삼구트리니엔 시티)112동 1402호</t>
        </is>
      </c>
      <c r="N61" t="inlineStr">
        <is>
          <t>그렇다</t>
        </is>
      </c>
      <c r="O61" t="inlineStr">
        <is>
          <t>보통이다</t>
        </is>
      </c>
      <c r="P61" t="inlineStr">
        <is>
          <t>보통이다</t>
        </is>
      </c>
      <c r="Q61" t="inlineStr">
        <is>
          <t>보통이다</t>
        </is>
      </c>
      <c r="R61" t="inlineStr">
        <is>
          <t>보통이다</t>
        </is>
      </c>
      <c r="S61" t="inlineStr">
        <is>
          <t>보통이다</t>
        </is>
      </c>
      <c r="T61" t="inlineStr">
        <is>
          <t>보통이다</t>
        </is>
      </c>
      <c r="U61" t="inlineStr">
        <is>
          <t>(일반)</t>
        </is>
      </c>
    </row>
    <row r="62">
      <c r="A62" t="n">
        <v>60</v>
      </c>
      <c r="B62" t="inlineStr">
        <is>
          <t>초등학교</t>
        </is>
      </c>
      <c r="C62" t="inlineStr">
        <is>
          <t>월수</t>
        </is>
      </c>
      <c r="D62" t="inlineStr">
        <is>
          <t>1 회</t>
        </is>
      </c>
      <c r="E62" t="inlineStr">
        <is>
          <t>김나혁</t>
        </is>
      </c>
      <c r="F62" t="inlineStr">
        <is>
          <t>knh0907</t>
        </is>
      </c>
      <c r="G62" t="inlineStr">
        <is>
          <t>남</t>
        </is>
      </c>
      <c r="H62" t="inlineStr">
        <is>
          <t>양서초등학교</t>
        </is>
      </c>
      <c r="I62" t="n">
        <v>4</v>
      </c>
      <c r="J62" t="inlineStr">
        <is>
          <t>010-9314-8050</t>
        </is>
      </c>
      <c r="K62" t="inlineStr">
        <is>
          <t>박미나</t>
        </is>
      </c>
      <c r="L62" t="inlineStr">
        <is>
          <t>010-9314-8050</t>
        </is>
      </c>
      <c r="M62" t="inlineStr">
        <is>
          <t>[37570] 경북 포항시 북구 천마로 123 (양덕동, 양덕삼구트리니엔3차)303 2105</t>
        </is>
      </c>
      <c r="N62" t="inlineStr">
        <is>
          <t>보통이다</t>
        </is>
      </c>
      <c r="O62" t="inlineStr">
        <is>
          <t>보통이다</t>
        </is>
      </c>
      <c r="P62" t="inlineStr">
        <is>
          <t>보통이다</t>
        </is>
      </c>
      <c r="Q62" t="inlineStr">
        <is>
          <t>보통이다</t>
        </is>
      </c>
      <c r="R62" t="inlineStr">
        <is>
          <t>그렇다</t>
        </is>
      </c>
      <c r="S62" t="inlineStr">
        <is>
          <t>그렇다</t>
        </is>
      </c>
      <c r="T62" t="inlineStr">
        <is>
          <t>그렇다</t>
        </is>
      </c>
      <c r="U62" t="inlineStr">
        <is>
          <t>(일반)</t>
        </is>
      </c>
    </row>
    <row r="63">
      <c r="A63" t="n">
        <v>61</v>
      </c>
      <c r="B63" t="inlineStr">
        <is>
          <t>초등학교</t>
        </is>
      </c>
      <c r="C63" t="inlineStr">
        <is>
          <t>화목</t>
        </is>
      </c>
      <c r="D63" t="inlineStr">
        <is>
          <t>4 회</t>
        </is>
      </c>
      <c r="E63" t="inlineStr">
        <is>
          <t>김진솔</t>
        </is>
      </c>
      <c r="F63" t="inlineStr">
        <is>
          <t>max0725</t>
        </is>
      </c>
      <c r="G63" t="inlineStr">
        <is>
          <t>남</t>
        </is>
      </c>
      <c r="H63" t="inlineStr">
        <is>
          <t>장성초등학교</t>
        </is>
      </c>
      <c r="I63" t="n">
        <v>5</v>
      </c>
      <c r="J63" t="inlineStr">
        <is>
          <t>010-5916-5241</t>
        </is>
      </c>
      <c r="K63" t="inlineStr">
        <is>
          <t>임유진</t>
        </is>
      </c>
      <c r="L63" t="inlineStr">
        <is>
          <t>010-5916-5241</t>
        </is>
      </c>
      <c r="M63" t="inlineStr">
        <is>
          <t>[37615  ] 경북 포항시 북구 성실로 66-11 (장성동, 대방한양아파트)102-301</t>
        </is>
      </c>
      <c r="N63" t="inlineStr">
        <is>
          <t>보통이다</t>
        </is>
      </c>
      <c r="O63" t="inlineStr">
        <is>
          <t>그렇다</t>
        </is>
      </c>
      <c r="P63" t="inlineStr">
        <is>
          <t>그렇다</t>
        </is>
      </c>
      <c r="Q63" t="inlineStr">
        <is>
          <t>보통이다</t>
        </is>
      </c>
      <c r="R63" t="inlineStr">
        <is>
          <t>그렇다</t>
        </is>
      </c>
      <c r="S63" t="inlineStr">
        <is>
          <t>보통이다</t>
        </is>
      </c>
      <c r="T63" t="inlineStr">
        <is>
          <t>그렇다</t>
        </is>
      </c>
      <c r="U63" t="inlineStr">
        <is>
          <t>(신청)</t>
        </is>
      </c>
    </row>
    <row r="64">
      <c r="A64" t="n">
        <v>62</v>
      </c>
      <c r="B64" t="inlineStr">
        <is>
          <t>초등학교</t>
        </is>
      </c>
      <c r="C64" t="inlineStr">
        <is>
          <t>화목</t>
        </is>
      </c>
      <c r="D64" t="inlineStr">
        <is>
          <t>4 회</t>
        </is>
      </c>
      <c r="E64" t="inlineStr">
        <is>
          <t>전호담</t>
        </is>
      </c>
      <c r="F64" t="inlineStr">
        <is>
          <t>hodam0721</t>
        </is>
      </c>
      <c r="G64" t="inlineStr">
        <is>
          <t>남</t>
        </is>
      </c>
      <c r="H64" t="inlineStr">
        <is>
          <t>포항제철초등학교</t>
        </is>
      </c>
      <c r="I64" t="n">
        <v>5</v>
      </c>
      <c r="J64" t="inlineStr">
        <is>
          <t>010-3364-2379</t>
        </is>
      </c>
      <c r="K64" t="inlineStr">
        <is>
          <t>김선빈</t>
        </is>
      </c>
      <c r="L64" t="inlineStr">
        <is>
          <t>010-3364-2379</t>
        </is>
      </c>
      <c r="M64" t="inlineStr">
        <is>
          <t>[37666  ] 경북 포항시 남구 지곡로 102 (지곡동, 낙원아파트)9-1101</t>
        </is>
      </c>
      <c r="N64" t="inlineStr">
        <is>
          <t>그렇다</t>
        </is>
      </c>
      <c r="O64" t="inlineStr">
        <is>
          <t>그렇다</t>
        </is>
      </c>
      <c r="P64" t="inlineStr">
        <is>
          <t>보통이다</t>
        </is>
      </c>
      <c r="Q64" t="inlineStr">
        <is>
          <t>보통이다</t>
        </is>
      </c>
      <c r="R64" t="inlineStr">
        <is>
          <t>보통이다</t>
        </is>
      </c>
      <c r="S64" t="inlineStr">
        <is>
          <t>보통이다</t>
        </is>
      </c>
      <c r="T64" t="inlineStr">
        <is>
          <t>보통이다</t>
        </is>
      </c>
      <c r="U64" t="inlineStr">
        <is>
          <t>(신청)</t>
        </is>
      </c>
    </row>
    <row r="65">
      <c r="A65" t="n">
        <v>63</v>
      </c>
      <c r="B65" t="inlineStr">
        <is>
          <t>초등학교</t>
        </is>
      </c>
      <c r="C65" t="inlineStr">
        <is>
          <t>월수</t>
        </is>
      </c>
      <c r="D65" t="inlineStr">
        <is>
          <t>1 회</t>
        </is>
      </c>
      <c r="E65" t="inlineStr">
        <is>
          <t>박서현</t>
        </is>
      </c>
      <c r="F65" t="inlineStr">
        <is>
          <t>psh0516</t>
        </is>
      </c>
      <c r="G65" t="inlineStr">
        <is>
          <t>여</t>
        </is>
      </c>
      <c r="H65" t="inlineStr">
        <is>
          <t>포항제철초등학교</t>
        </is>
      </c>
      <c r="I65" t="n">
        <v>4</v>
      </c>
      <c r="J65" t="inlineStr">
        <is>
          <t>010-9315-9341</t>
        </is>
      </c>
      <c r="K65" t="inlineStr">
        <is>
          <t>기월화</t>
        </is>
      </c>
      <c r="L65" t="inlineStr">
        <is>
          <t>010-9315-9341</t>
        </is>
      </c>
      <c r="M65" t="inlineStr">
        <is>
          <t>[37665] 경북 포항시 남구 지곡로 20 (효자동, 승리아파트)4동402호</t>
        </is>
      </c>
      <c r="N65" t="inlineStr">
        <is>
          <t>보통이다</t>
        </is>
      </c>
      <c r="O65" t="inlineStr">
        <is>
          <t>보통이다</t>
        </is>
      </c>
      <c r="P65" t="inlineStr">
        <is>
          <t>그렇지 않다</t>
        </is>
      </c>
      <c r="Q65" t="inlineStr">
        <is>
          <t>그렇지 않다</t>
        </is>
      </c>
      <c r="R65" t="inlineStr">
        <is>
          <t>그렇지 않다</t>
        </is>
      </c>
      <c r="S65" t="inlineStr">
        <is>
          <t>그렇지 않다</t>
        </is>
      </c>
      <c r="T65" t="inlineStr">
        <is>
          <t>그렇지 않다</t>
        </is>
      </c>
      <c r="U65" t="inlineStr">
        <is>
          <t>(일반)</t>
        </is>
      </c>
    </row>
    <row r="66">
      <c r="A66" t="n">
        <v>64</v>
      </c>
      <c r="B66" t="inlineStr">
        <is>
          <t>초등학교</t>
        </is>
      </c>
      <c r="C66" t="inlineStr">
        <is>
          <t>월수</t>
        </is>
      </c>
      <c r="D66" t="inlineStr">
        <is>
          <t>1 회</t>
        </is>
      </c>
      <c r="E66" t="inlineStr">
        <is>
          <t>정상율</t>
        </is>
      </c>
      <c r="F66" t="inlineStr">
        <is>
          <t>dylan1027</t>
        </is>
      </c>
      <c r="G66" t="inlineStr">
        <is>
          <t>남</t>
        </is>
      </c>
      <c r="H66" t="inlineStr">
        <is>
          <t>초서초등학교</t>
        </is>
      </c>
      <c r="I66" t="n">
        <v>4</v>
      </c>
      <c r="J66" t="inlineStr">
        <is>
          <t>010-3556-4566</t>
        </is>
      </c>
      <c r="K66" t="inlineStr">
        <is>
          <t>김보람</t>
        </is>
      </c>
      <c r="L66" t="inlineStr">
        <is>
          <t>010-3556-4566</t>
        </is>
      </c>
      <c r="M66" t="inlineStr">
        <is>
          <t>[37560  ] 경북 포항시 북구 흥해읍 초곡지구로 176 (초곡리, 포항초곡호반베르디움)110/202</t>
        </is>
      </c>
      <c r="N66" t="inlineStr">
        <is>
          <t>보통이다</t>
        </is>
      </c>
      <c r="O66" t="inlineStr">
        <is>
          <t>매우 그렇다</t>
        </is>
      </c>
      <c r="P66" t="inlineStr">
        <is>
          <t>그렇다</t>
        </is>
      </c>
      <c r="Q66" t="inlineStr">
        <is>
          <t>보통이다</t>
        </is>
      </c>
      <c r="R66" t="inlineStr">
        <is>
          <t>그렇다</t>
        </is>
      </c>
      <c r="S66" t="inlineStr">
        <is>
          <t>그렇다</t>
        </is>
      </c>
      <c r="T66" t="inlineStr">
        <is>
          <t>보통이다</t>
        </is>
      </c>
      <c r="U66" t="inlineStr">
        <is>
          <t>(일반)</t>
        </is>
      </c>
    </row>
    <row r="67">
      <c r="A67" t="n">
        <v>65</v>
      </c>
      <c r="B67" t="inlineStr">
        <is>
          <t>초등학교</t>
        </is>
      </c>
      <c r="C67" t="inlineStr">
        <is>
          <t>월수</t>
        </is>
      </c>
      <c r="D67" t="inlineStr">
        <is>
          <t>2 회</t>
        </is>
      </c>
      <c r="E67" t="inlineStr">
        <is>
          <t>김준서</t>
        </is>
      </c>
      <c r="F67" t="inlineStr">
        <is>
          <t>wnstj9323</t>
        </is>
      </c>
      <c r="G67" t="inlineStr">
        <is>
          <t>남</t>
        </is>
      </c>
      <c r="H67" t="inlineStr">
        <is>
          <t>포항제철지곡초등학교</t>
        </is>
      </c>
      <c r="I67" t="n">
        <v>5</v>
      </c>
      <c r="J67" t="inlineStr">
        <is>
          <t>010-4557-7856</t>
        </is>
      </c>
      <c r="K67" t="inlineStr">
        <is>
          <t>조지연</t>
        </is>
      </c>
      <c r="L67" t="inlineStr">
        <is>
          <t>010-4557-7856</t>
        </is>
      </c>
      <c r="M67" t="inlineStr">
        <is>
          <t>[37669  ] 경북 포항시 남구 지곡로 294 (지곡동, 효자그린아파트)212동 104호</t>
        </is>
      </c>
      <c r="N67" t="inlineStr">
        <is>
          <t>그렇다</t>
        </is>
      </c>
      <c r="O67" t="inlineStr">
        <is>
          <t>그렇다</t>
        </is>
      </c>
      <c r="P67" t="inlineStr">
        <is>
          <t>그렇다</t>
        </is>
      </c>
      <c r="Q67" t="inlineStr">
        <is>
          <t>그렇다</t>
        </is>
      </c>
      <c r="R67" t="inlineStr">
        <is>
          <t>그렇다</t>
        </is>
      </c>
      <c r="S67" t="inlineStr">
        <is>
          <t>보통이다</t>
        </is>
      </c>
      <c r="T67" t="inlineStr">
        <is>
          <t>그렇다</t>
        </is>
      </c>
      <c r="U67" t="inlineStr">
        <is>
          <t>(일반)</t>
        </is>
      </c>
    </row>
    <row r="68">
      <c r="A68" t="n">
        <v>66</v>
      </c>
      <c r="B68" t="inlineStr">
        <is>
          <t>초등학교</t>
        </is>
      </c>
      <c r="C68" t="inlineStr">
        <is>
          <t>월수</t>
        </is>
      </c>
      <c r="D68" t="inlineStr">
        <is>
          <t>1 회</t>
        </is>
      </c>
      <c r="E68" t="inlineStr">
        <is>
          <t>조서우</t>
        </is>
      </c>
      <c r="F68" t="inlineStr">
        <is>
          <t>hyde3334</t>
        </is>
      </c>
      <c r="G68" t="inlineStr">
        <is>
          <t>남</t>
        </is>
      </c>
      <c r="H68" t="inlineStr">
        <is>
          <t>상대초등학교</t>
        </is>
      </c>
      <c r="I68" t="n">
        <v>4</v>
      </c>
      <c r="J68" t="inlineStr">
        <is>
          <t>010-5581-7211</t>
        </is>
      </c>
      <c r="K68" t="inlineStr">
        <is>
          <t>권봉진</t>
        </is>
      </c>
      <c r="L68" t="inlineStr">
        <is>
          <t>010-5581-7211</t>
        </is>
      </c>
      <c r="M68" t="inlineStr">
        <is>
          <t>[37778  ] 경북 포항시 남구 대해로79번길 32-2 (대도동)1층</t>
        </is>
      </c>
      <c r="N68" t="inlineStr">
        <is>
          <t>보통이다</t>
        </is>
      </c>
      <c r="O68" t="inlineStr">
        <is>
          <t>그렇지 않다</t>
        </is>
      </c>
      <c r="P68" t="inlineStr">
        <is>
          <t>그렇지 않다</t>
        </is>
      </c>
      <c r="Q68" t="inlineStr">
        <is>
          <t>그렇지 않다</t>
        </is>
      </c>
      <c r="R68" t="inlineStr">
        <is>
          <t>전혀 그렇지 않다</t>
        </is>
      </c>
      <c r="S68" t="inlineStr">
        <is>
          <t>그렇지 않다</t>
        </is>
      </c>
      <c r="T68" t="inlineStr">
        <is>
          <t>전혀 그렇지 않다</t>
        </is>
      </c>
      <c r="U68" t="inlineStr">
        <is>
          <t>(일반)</t>
        </is>
      </c>
    </row>
    <row r="69">
      <c r="A69" t="n">
        <v>67</v>
      </c>
      <c r="B69" t="inlineStr">
        <is>
          <t>초등학교</t>
        </is>
      </c>
      <c r="C69" t="inlineStr">
        <is>
          <t>월수</t>
        </is>
      </c>
      <c r="D69" t="inlineStr">
        <is>
          <t>1 회</t>
        </is>
      </c>
      <c r="E69" t="inlineStr">
        <is>
          <t>이태범</t>
        </is>
      </c>
      <c r="F69" t="inlineStr">
        <is>
          <t>lbh0802</t>
        </is>
      </c>
      <c r="G69" t="inlineStr">
        <is>
          <t>남</t>
        </is>
      </c>
      <c r="H69" t="inlineStr">
        <is>
          <t>효자초등학교</t>
        </is>
      </c>
      <c r="I69" t="n">
        <v>6</v>
      </c>
      <c r="J69" t="inlineStr">
        <is>
          <t>010-9930-3217</t>
        </is>
      </c>
      <c r="K69" t="inlineStr">
        <is>
          <t>이병호</t>
        </is>
      </c>
      <c r="L69" t="inlineStr">
        <is>
          <t>010-9930-3217</t>
        </is>
      </c>
      <c r="M69" t="inlineStr">
        <is>
          <t>[37836  ] 경북 포항시 남구 효성로 55 (효자동, 효자풍림아이원아파트)106동 2303호</t>
        </is>
      </c>
      <c r="N69" t="inlineStr">
        <is>
          <t>그렇지 않다</t>
        </is>
      </c>
      <c r="O69" t="inlineStr">
        <is>
          <t>전혀 그렇지 않다</t>
        </is>
      </c>
      <c r="P69" t="inlineStr">
        <is>
          <t>전혀 그렇지 않다</t>
        </is>
      </c>
      <c r="Q69" t="inlineStr">
        <is>
          <t>전혀 그렇지 않다</t>
        </is>
      </c>
      <c r="R69" t="inlineStr">
        <is>
          <t>전혀 그렇지 않다</t>
        </is>
      </c>
      <c r="S69" t="inlineStr">
        <is>
          <t>전혀 그렇지 않다</t>
        </is>
      </c>
      <c r="T69" t="inlineStr">
        <is>
          <t>전혀 그렇지 않다</t>
        </is>
      </c>
      <c r="U69" t="inlineStr">
        <is>
          <t>(신청)</t>
        </is>
      </c>
    </row>
    <row r="70">
      <c r="A70" t="n">
        <v>68</v>
      </c>
      <c r="B70" t="inlineStr">
        <is>
          <t>초등학교</t>
        </is>
      </c>
      <c r="C70" t="inlineStr">
        <is>
          <t>월수</t>
        </is>
      </c>
      <c r="D70" t="inlineStr">
        <is>
          <t>1 회</t>
        </is>
      </c>
      <c r="E70" t="inlineStr">
        <is>
          <t>강아윤</t>
        </is>
      </c>
      <c r="F70" t="inlineStr">
        <is>
          <t>0908apple</t>
        </is>
      </c>
      <c r="G70" t="inlineStr">
        <is>
          <t>여</t>
        </is>
      </c>
      <c r="H70" t="inlineStr">
        <is>
          <t>포항제철초등학교</t>
        </is>
      </c>
      <c r="I70" t="n">
        <v>6</v>
      </c>
      <c r="J70" t="inlineStr">
        <is>
          <t>010-8320-9308</t>
        </is>
      </c>
      <c r="K70" t="inlineStr">
        <is>
          <t>박지연</t>
        </is>
      </c>
      <c r="L70" t="inlineStr">
        <is>
          <t>010-8757-1780</t>
        </is>
      </c>
      <c r="M70" t="inlineStr">
        <is>
          <t>[37662  ] 경북 포항시 남구 행복길 56 (대잠동, 행복아파트)2동 502호</t>
        </is>
      </c>
      <c r="N70" t="inlineStr">
        <is>
          <t>그렇지 않다</t>
        </is>
      </c>
      <c r="O70" t="inlineStr">
        <is>
          <t>보통이다</t>
        </is>
      </c>
      <c r="P70" t="inlineStr">
        <is>
          <t>보통이다</t>
        </is>
      </c>
      <c r="Q70" t="inlineStr">
        <is>
          <t>보통이다</t>
        </is>
      </c>
      <c r="R70" t="inlineStr">
        <is>
          <t>그렇지 않다</t>
        </is>
      </c>
      <c r="S70" t="inlineStr">
        <is>
          <t>그렇지 않다</t>
        </is>
      </c>
      <c r="T70" t="inlineStr">
        <is>
          <t>보통이다</t>
        </is>
      </c>
      <c r="U70" t="inlineStr">
        <is>
          <t>(일반)</t>
        </is>
      </c>
    </row>
    <row r="71">
      <c r="A71" t="n">
        <v>69</v>
      </c>
      <c r="B71" t="inlineStr">
        <is>
          <t>초등학교</t>
        </is>
      </c>
      <c r="C71" t="inlineStr">
        <is>
          <t>월수</t>
        </is>
      </c>
      <c r="D71" t="inlineStr">
        <is>
          <t>1 회</t>
        </is>
      </c>
      <c r="E71" t="inlineStr">
        <is>
          <t>김도준</t>
        </is>
      </c>
      <c r="F71" t="inlineStr">
        <is>
          <t>aidun0024</t>
        </is>
      </c>
      <c r="G71" t="inlineStr">
        <is>
          <t>남</t>
        </is>
      </c>
      <c r="H71" t="inlineStr">
        <is>
          <t>초곡초등학교</t>
        </is>
      </c>
      <c r="I71" t="n">
        <v>5</v>
      </c>
      <c r="J71" t="inlineStr">
        <is>
          <t>010-4170-3784</t>
        </is>
      </c>
      <c r="K71" t="inlineStr">
        <is>
          <t>최선희</t>
        </is>
      </c>
      <c r="L71" t="inlineStr">
        <is>
          <t>010-4170-3784</t>
        </is>
      </c>
      <c r="M71" t="inlineStr">
        <is>
          <t>[37560] 경북 포항시 북구 흥해읍 초곡지구로58번길 82 (초곡리, 화산샬레아파트)103동202호</t>
        </is>
      </c>
      <c r="N71" t="inlineStr">
        <is>
          <t>그렇다</t>
        </is>
      </c>
      <c r="O71" t="inlineStr">
        <is>
          <t>보통이다</t>
        </is>
      </c>
      <c r="P71" t="inlineStr">
        <is>
          <t>보통이다</t>
        </is>
      </c>
      <c r="Q71" t="inlineStr">
        <is>
          <t>보통이다</t>
        </is>
      </c>
      <c r="R71" t="inlineStr">
        <is>
          <t>보통이다</t>
        </is>
      </c>
      <c r="S71" t="inlineStr">
        <is>
          <t>보통이다</t>
        </is>
      </c>
      <c r="T71" t="inlineStr">
        <is>
          <t>보통이다</t>
        </is>
      </c>
      <c r="U71" t="inlineStr">
        <is>
          <t>(일반)</t>
        </is>
      </c>
    </row>
    <row r="72">
      <c r="A72" t="n">
        <v>70</v>
      </c>
      <c r="B72" t="inlineStr">
        <is>
          <t>초등학교</t>
        </is>
      </c>
      <c r="C72" t="inlineStr">
        <is>
          <t>월수</t>
        </is>
      </c>
      <c r="D72" t="inlineStr">
        <is>
          <t>1 회</t>
        </is>
      </c>
      <c r="E72" t="inlineStr">
        <is>
          <t>임다윤</t>
        </is>
      </c>
      <c r="F72" t="inlineStr">
        <is>
          <t>jung87</t>
        </is>
      </c>
      <c r="G72" t="inlineStr">
        <is>
          <t>여</t>
        </is>
      </c>
      <c r="H72" t="inlineStr">
        <is>
          <t>포항제철초등학교</t>
        </is>
      </c>
      <c r="I72" t="n">
        <v>4</v>
      </c>
      <c r="J72" t="inlineStr">
        <is>
          <t>010-6722-5197</t>
        </is>
      </c>
      <c r="K72" t="inlineStr">
        <is>
          <t>김희정</t>
        </is>
      </c>
      <c r="L72" t="inlineStr">
        <is>
          <t>010-6722-5197</t>
        </is>
      </c>
      <c r="M72" t="inlineStr">
        <is>
          <t>[37665] 경북 포항시 남구 지곡로 20 (효자동, 승리아파트)5동 1505호</t>
        </is>
      </c>
      <c r="N72" t="inlineStr">
        <is>
          <t>보통이다</t>
        </is>
      </c>
      <c r="O72" t="inlineStr">
        <is>
          <t>보통이다</t>
        </is>
      </c>
      <c r="P72" t="inlineStr">
        <is>
          <t>보통이다</t>
        </is>
      </c>
      <c r="Q72" t="inlineStr">
        <is>
          <t>보통이다</t>
        </is>
      </c>
      <c r="R72" t="inlineStr">
        <is>
          <t>보통이다</t>
        </is>
      </c>
      <c r="S72" t="inlineStr">
        <is>
          <t>보통이다</t>
        </is>
      </c>
      <c r="T72" t="inlineStr">
        <is>
          <t>보통이다</t>
        </is>
      </c>
      <c r="U72" t="inlineStr">
        <is>
          <t>(일반)</t>
        </is>
      </c>
    </row>
    <row r="73">
      <c r="A73" t="n">
        <v>71</v>
      </c>
      <c r="B73" t="inlineStr">
        <is>
          <t>초등학교</t>
        </is>
      </c>
      <c r="C73" t="inlineStr">
        <is>
          <t>화목</t>
        </is>
      </c>
      <c r="D73" t="inlineStr">
        <is>
          <t>1 회</t>
        </is>
      </c>
      <c r="E73" t="inlineStr">
        <is>
          <t>이서안</t>
        </is>
      </c>
      <c r="F73" t="inlineStr">
        <is>
          <t>ani0926</t>
        </is>
      </c>
      <c r="G73" t="inlineStr">
        <is>
          <t>여</t>
        </is>
      </c>
      <c r="H73" t="inlineStr">
        <is>
          <t>포항대흥초등학교</t>
        </is>
      </c>
      <c r="I73" t="n">
        <v>5</v>
      </c>
      <c r="J73" t="inlineStr">
        <is>
          <t>010-4772-3505</t>
        </is>
      </c>
      <c r="K73" t="inlineStr">
        <is>
          <t>이진희</t>
        </is>
      </c>
      <c r="L73" t="inlineStr">
        <is>
          <t>010-4772-3505</t>
        </is>
      </c>
      <c r="M73" t="inlineStr">
        <is>
          <t>[37645  ] 경북 포항시 북구 대안길 81 (용흥동, 한라파크 6차)한라아파트 202동 602호</t>
        </is>
      </c>
      <c r="N73" t="inlineStr">
        <is>
          <t>그렇다</t>
        </is>
      </c>
      <c r="O73" t="inlineStr">
        <is>
          <t>그렇다</t>
        </is>
      </c>
      <c r="P73" t="inlineStr">
        <is>
          <t>그렇다</t>
        </is>
      </c>
      <c r="Q73" t="inlineStr">
        <is>
          <t>보통이다</t>
        </is>
      </c>
      <c r="R73" t="inlineStr">
        <is>
          <t>보통이다</t>
        </is>
      </c>
      <c r="S73" t="inlineStr">
        <is>
          <t>그렇다</t>
        </is>
      </c>
      <c r="T73" t="inlineStr">
        <is>
          <t>보통이다</t>
        </is>
      </c>
      <c r="U73" t="inlineStr">
        <is>
          <t>(일반)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구미_202605_주문현황 (2026-04-21)</t>
        </is>
      </c>
    </row>
    <row r="2">
      <c r="A2" t="inlineStr">
        <is>
          <t>No.</t>
        </is>
      </c>
      <c r="B2" t="inlineStr">
        <is>
          <t>학교레벨</t>
        </is>
      </c>
      <c r="C2" t="inlineStr">
        <is>
          <t>강좌명</t>
        </is>
      </c>
      <c r="D2" t="inlineStr">
        <is>
          <t>재수강</t>
        </is>
      </c>
      <c r="E2" t="inlineStr">
        <is>
          <t>회원명</t>
        </is>
      </c>
      <c r="F2" t="inlineStr">
        <is>
          <t>회원ID</t>
        </is>
      </c>
      <c r="G2" t="inlineStr">
        <is>
          <t>성별</t>
        </is>
      </c>
      <c r="H2" t="inlineStr">
        <is>
          <t>학교</t>
        </is>
      </c>
      <c r="I2" t="inlineStr">
        <is>
          <t>학년</t>
        </is>
      </c>
      <c r="J2" t="inlineStr">
        <is>
          <t>휴대전화</t>
        </is>
      </c>
      <c r="K2" t="inlineStr">
        <is>
          <t>학부모명</t>
        </is>
      </c>
      <c r="L2" t="inlineStr">
        <is>
          <t>학부모연락처</t>
        </is>
      </c>
      <c r="M2" t="inlineStr">
        <is>
          <t>주소2 (교재배송)</t>
        </is>
      </c>
      <c r="N2" t="inlineStr">
        <is>
          <t>Q1</t>
        </is>
      </c>
      <c r="O2" t="inlineStr">
        <is>
          <t>Q2</t>
        </is>
      </c>
      <c r="P2" t="inlineStr">
        <is>
          <t>Q3</t>
        </is>
      </c>
      <c r="Q2" t="inlineStr">
        <is>
          <t>Q4</t>
        </is>
      </c>
      <c r="R2" t="inlineStr">
        <is>
          <t>Q5</t>
        </is>
      </c>
      <c r="S2" t="inlineStr">
        <is>
          <t>회원할인</t>
        </is>
      </c>
    </row>
    <row r="3">
      <c r="A3" t="n">
        <v>1</v>
      </c>
      <c r="B3" t="inlineStr">
        <is>
          <t>초등학교</t>
        </is>
      </c>
      <c r="C3" t="inlineStr">
        <is>
          <t>화목</t>
        </is>
      </c>
      <c r="D3" t="inlineStr">
        <is>
          <t>1 회</t>
        </is>
      </c>
      <c r="E3" t="inlineStr">
        <is>
          <t>이다율</t>
        </is>
      </c>
      <c r="F3" t="inlineStr">
        <is>
          <t>gmjs022</t>
        </is>
      </c>
      <c r="G3" t="inlineStr">
        <is>
          <t>남</t>
        </is>
      </c>
      <c r="H3" t="inlineStr">
        <is>
          <t>정수초등학교</t>
        </is>
      </c>
      <c r="I3" t="n">
        <v>6</v>
      </c>
      <c r="J3" t="inlineStr">
        <is>
          <t>010-2889-4731</t>
        </is>
      </c>
      <c r="K3" t="inlineStr">
        <is>
          <t>박혜미</t>
        </is>
      </c>
      <c r="L3" t="inlineStr">
        <is>
          <t>010-2833-4731</t>
        </is>
      </c>
      <c r="M3" t="inlineStr">
        <is>
          <t>[39342  ] 경북 구미시 박정희로 76 (상모동, 상모한신휴플러스)103-304</t>
        </is>
      </c>
      <c r="N3" t="inlineStr">
        <is>
          <t>그렇다</t>
        </is>
      </c>
      <c r="O3" t="inlineStr">
        <is>
          <t>그렇지 않다</t>
        </is>
      </c>
      <c r="P3" t="inlineStr">
        <is>
          <t>보통이다</t>
        </is>
      </c>
      <c r="Q3" t="inlineStr">
        <is>
          <t>그렇지 않다</t>
        </is>
      </c>
      <c r="R3" t="inlineStr">
        <is>
          <t>보통이다</t>
        </is>
      </c>
      <c r="S3" t="inlineStr">
        <is>
          <t>(일반)</t>
        </is>
      </c>
    </row>
    <row r="4">
      <c r="A4" t="n">
        <v>2</v>
      </c>
      <c r="B4" t="inlineStr">
        <is>
          <t>초등학교</t>
        </is>
      </c>
      <c r="C4" t="inlineStr">
        <is>
          <t>화목</t>
        </is>
      </c>
      <c r="D4" t="inlineStr">
        <is>
          <t>1 회</t>
        </is>
      </c>
      <c r="E4" t="inlineStr">
        <is>
          <t>배윤채</t>
        </is>
      </c>
      <c r="F4" t="inlineStr">
        <is>
          <t>byc0816</t>
        </is>
      </c>
      <c r="G4" t="inlineStr">
        <is>
          <t>여</t>
        </is>
      </c>
      <c r="H4" t="inlineStr">
        <is>
          <t>정수초등학교</t>
        </is>
      </c>
      <c r="I4" t="n">
        <v>5</v>
      </c>
      <c r="J4" t="inlineStr">
        <is>
          <t>010-4842-2546</t>
        </is>
      </c>
      <c r="K4" t="inlineStr">
        <is>
          <t>이은화</t>
        </is>
      </c>
      <c r="L4" t="inlineStr">
        <is>
          <t>010-4842-2546</t>
        </is>
      </c>
      <c r="M4" t="inlineStr">
        <is>
          <t>[39342  ] 경북 구미시 박정희로 76 (상모동, 상모한신휴플러스)103동 1902호</t>
        </is>
      </c>
      <c r="N4" t="inlineStr">
        <is>
          <t>그렇다</t>
        </is>
      </c>
      <c r="O4" t="inlineStr">
        <is>
          <t>그렇다</t>
        </is>
      </c>
      <c r="P4" t="inlineStr">
        <is>
          <t>보통이다</t>
        </is>
      </c>
      <c r="Q4" t="inlineStr">
        <is>
          <t>그렇지 않다</t>
        </is>
      </c>
      <c r="R4" t="inlineStr">
        <is>
          <t>보통이다</t>
        </is>
      </c>
      <c r="S4" t="inlineStr">
        <is>
          <t>(일반)</t>
        </is>
      </c>
    </row>
    <row r="5">
      <c r="A5" t="n">
        <v>3</v>
      </c>
      <c r="B5" t="inlineStr">
        <is>
          <t>초등학교</t>
        </is>
      </c>
      <c r="C5" t="inlineStr">
        <is>
          <t>월수</t>
        </is>
      </c>
      <c r="D5" t="inlineStr">
        <is>
          <t>1 회</t>
        </is>
      </c>
      <c r="E5" t="inlineStr">
        <is>
          <t>황수빈</t>
        </is>
      </c>
      <c r="F5" t="inlineStr">
        <is>
          <t>soobee1003</t>
        </is>
      </c>
      <c r="G5" t="inlineStr">
        <is>
          <t>여</t>
        </is>
      </c>
      <c r="H5" t="inlineStr">
        <is>
          <t>정수초등학교</t>
        </is>
      </c>
      <c r="I5" t="n">
        <v>6</v>
      </c>
      <c r="J5" t="inlineStr">
        <is>
          <t>010-5674-7413</t>
        </is>
      </c>
      <c r="K5" t="inlineStr">
        <is>
          <t>김선화</t>
        </is>
      </c>
      <c r="L5" t="inlineStr">
        <is>
          <t>010-8522-7413</t>
        </is>
      </c>
      <c r="M5" t="inlineStr">
        <is>
          <t>[39340  ] 경북 구미시 상모로2길 3-10 (상모동, 반석드림빌)501동 402호</t>
        </is>
      </c>
      <c r="N5" t="inlineStr">
        <is>
          <t>전혀 그렇지 않다</t>
        </is>
      </c>
      <c r="O5" t="inlineStr">
        <is>
          <t>전혀 그렇지 않다</t>
        </is>
      </c>
      <c r="P5" t="inlineStr">
        <is>
          <t>전혀 그렇지 않다</t>
        </is>
      </c>
      <c r="Q5" t="inlineStr">
        <is>
          <t>전혀 그렇지 않다</t>
        </is>
      </c>
      <c r="R5" t="inlineStr">
        <is>
          <t>전혀 그렇지 않다</t>
        </is>
      </c>
      <c r="S5" t="inlineStr">
        <is>
          <t>(일반)</t>
        </is>
      </c>
    </row>
    <row r="6">
      <c r="A6" t="n">
        <v>4</v>
      </c>
      <c r="B6" t="inlineStr">
        <is>
          <t>초등학교</t>
        </is>
      </c>
      <c r="C6" t="inlineStr">
        <is>
          <t>화목</t>
        </is>
      </c>
      <c r="D6" t="inlineStr">
        <is>
          <t>1 회</t>
        </is>
      </c>
      <c r="E6" t="inlineStr">
        <is>
          <t>한혜진</t>
        </is>
      </c>
      <c r="F6" t="inlineStr">
        <is>
          <t>hanhj</t>
        </is>
      </c>
      <c r="G6" t="inlineStr">
        <is>
          <t>여</t>
        </is>
      </c>
      <c r="H6" t="inlineStr">
        <is>
          <t>정수초등학교</t>
        </is>
      </c>
      <c r="I6" t="n">
        <v>4</v>
      </c>
      <c r="J6" t="inlineStr">
        <is>
          <t>010-2799-0428</t>
        </is>
      </c>
      <c r="K6" t="inlineStr">
        <is>
          <t>한창수</t>
        </is>
      </c>
      <c r="L6" t="inlineStr">
        <is>
          <t>010-2799-0428</t>
        </is>
      </c>
      <c r="M6" t="inlineStr">
        <is>
          <t>[39333  ] 경북 구미시 상모로5길 11 (상모동)307호 금강캐슬</t>
        </is>
      </c>
      <c r="N6" t="inlineStr">
        <is>
          <t>보통이다</t>
        </is>
      </c>
      <c r="O6" t="inlineStr">
        <is>
          <t>보통이다</t>
        </is>
      </c>
      <c r="P6" t="inlineStr">
        <is>
          <t>보통이다</t>
        </is>
      </c>
      <c r="Q6" t="inlineStr">
        <is>
          <t>보통이다</t>
        </is>
      </c>
      <c r="R6" t="inlineStr">
        <is>
          <t>보통이다</t>
        </is>
      </c>
      <c r="S6" t="inlineStr">
        <is>
          <t>(일반)</t>
        </is>
      </c>
    </row>
    <row r="7">
      <c r="A7" t="n">
        <v>5</v>
      </c>
      <c r="B7" t="inlineStr">
        <is>
          <t>초등학교</t>
        </is>
      </c>
      <c r="C7" t="inlineStr">
        <is>
          <t>월수</t>
        </is>
      </c>
      <c r="D7" t="inlineStr">
        <is>
          <t>1 회</t>
        </is>
      </c>
      <c r="E7" t="inlineStr">
        <is>
          <t>백아인</t>
        </is>
      </c>
      <c r="F7" t="inlineStr">
        <is>
          <t>ain8229</t>
        </is>
      </c>
      <c r="G7" t="inlineStr">
        <is>
          <t>남</t>
        </is>
      </c>
      <c r="H7" t="inlineStr">
        <is>
          <t>정수초등학교</t>
        </is>
      </c>
      <c r="I7" t="n">
        <v>4</v>
      </c>
      <c r="J7" t="inlineStr">
        <is>
          <t>010-6623-6319</t>
        </is>
      </c>
      <c r="K7" t="inlineStr">
        <is>
          <t>박동희</t>
        </is>
      </c>
      <c r="L7" t="inlineStr">
        <is>
          <t>010-6623-6319</t>
        </is>
      </c>
      <c r="M7" t="inlineStr">
        <is>
          <t>[39325  ] 경북 구미시 박정희로 236-8 (사곡동, 상모사곡화성파크드림)103동 205호</t>
        </is>
      </c>
      <c r="N7" t="inlineStr">
        <is>
          <t>그렇지 않다</t>
        </is>
      </c>
      <c r="O7" t="inlineStr">
        <is>
          <t>보통이다</t>
        </is>
      </c>
      <c r="P7" t="inlineStr">
        <is>
          <t>그렇지 않다</t>
        </is>
      </c>
      <c r="Q7" t="inlineStr">
        <is>
          <t>그렇지 않다</t>
        </is>
      </c>
      <c r="R7" t="inlineStr">
        <is>
          <t>그렇지 않다</t>
        </is>
      </c>
      <c r="S7" t="inlineStr">
        <is>
          <t>(일반)</t>
        </is>
      </c>
    </row>
    <row r="8">
      <c r="A8" t="n">
        <v>6</v>
      </c>
      <c r="B8" t="inlineStr">
        <is>
          <t>초등학교</t>
        </is>
      </c>
      <c r="C8" t="inlineStr">
        <is>
          <t>월수</t>
        </is>
      </c>
      <c r="D8" t="inlineStr">
        <is>
          <t>1 회</t>
        </is>
      </c>
      <c r="E8" t="inlineStr">
        <is>
          <t>박서준</t>
        </is>
      </c>
      <c r="F8" t="inlineStr">
        <is>
          <t>psj0807</t>
        </is>
      </c>
      <c r="G8" t="inlineStr">
        <is>
          <t>남</t>
        </is>
      </c>
      <c r="H8" t="inlineStr">
        <is>
          <t>형일초등학교</t>
        </is>
      </c>
      <c r="I8" t="n">
        <v>5</v>
      </c>
      <c r="J8" t="inlineStr">
        <is>
          <t>010-9320-7387</t>
        </is>
      </c>
      <c r="K8" t="inlineStr">
        <is>
          <t>김수민</t>
        </is>
      </c>
      <c r="L8" t="inlineStr">
        <is>
          <t>010-9320-7387</t>
        </is>
      </c>
      <c r="M8" t="inlineStr">
        <is>
          <t>[39292  ] 경북 구미시 형곡로10길 31 (형곡동, 삼우APT)908동 102호</t>
        </is>
      </c>
      <c r="N8" t="inlineStr">
        <is>
          <t>전혀 그렇지 않다</t>
        </is>
      </c>
      <c r="O8" t="inlineStr">
        <is>
          <t>전혀 그렇지 않다</t>
        </is>
      </c>
      <c r="P8" t="inlineStr">
        <is>
          <t>전혀 그렇지 않다</t>
        </is>
      </c>
      <c r="Q8" t="inlineStr">
        <is>
          <t>전혀 그렇지 않다</t>
        </is>
      </c>
      <c r="R8" t="inlineStr">
        <is>
          <t>전혀 그렇지 않다</t>
        </is>
      </c>
      <c r="S8" t="inlineStr">
        <is>
          <t>(일반)</t>
        </is>
      </c>
    </row>
    <row r="9">
      <c r="A9" t="n">
        <v>7</v>
      </c>
      <c r="B9" t="inlineStr">
        <is>
          <t>초등학교</t>
        </is>
      </c>
      <c r="C9" t="inlineStr">
        <is>
          <t>화목</t>
        </is>
      </c>
      <c r="D9" t="inlineStr">
        <is>
          <t>2 회</t>
        </is>
      </c>
      <c r="E9" t="inlineStr">
        <is>
          <t>이성빈</t>
        </is>
      </c>
      <c r="F9" t="inlineStr">
        <is>
          <t>jangah777</t>
        </is>
      </c>
      <c r="G9" t="inlineStr">
        <is>
          <t>남</t>
        </is>
      </c>
      <c r="H9" t="inlineStr">
        <is>
          <t>정수초등학교</t>
        </is>
      </c>
      <c r="I9" t="n">
        <v>5</v>
      </c>
      <c r="J9" t="inlineStr">
        <is>
          <t>010-9060-6222</t>
        </is>
      </c>
      <c r="K9" t="inlineStr">
        <is>
          <t>장아름</t>
        </is>
      </c>
      <c r="L9" t="inlineStr">
        <is>
          <t>010-9060-6222</t>
        </is>
      </c>
      <c r="M9" t="inlineStr">
        <is>
          <t>[39342  ] 경북 구미시 박정희로 76 (상모동, 상모한신휴플러스)107동1802호</t>
        </is>
      </c>
      <c r="N9" t="inlineStr">
        <is>
          <t>그렇다</t>
        </is>
      </c>
      <c r="O9" t="inlineStr">
        <is>
          <t>그렇다</t>
        </is>
      </c>
      <c r="P9" t="inlineStr">
        <is>
          <t>그렇다</t>
        </is>
      </c>
      <c r="Q9" t="inlineStr">
        <is>
          <t>보통이다</t>
        </is>
      </c>
      <c r="R9" t="inlineStr">
        <is>
          <t>보통이다</t>
        </is>
      </c>
      <c r="S9" t="inlineStr">
        <is>
          <t>(일반)</t>
        </is>
      </c>
    </row>
    <row r="10">
      <c r="A10" t="n">
        <v>8</v>
      </c>
      <c r="B10" t="inlineStr">
        <is>
          <t>초등학교</t>
        </is>
      </c>
      <c r="C10" t="inlineStr">
        <is>
          <t>화목</t>
        </is>
      </c>
      <c r="D10" t="inlineStr">
        <is>
          <t>1 회</t>
        </is>
      </c>
      <c r="E10" t="inlineStr">
        <is>
          <t>정승우</t>
        </is>
      </c>
      <c r="F10" t="inlineStr">
        <is>
          <t>hiswu25</t>
        </is>
      </c>
      <c r="G10" t="inlineStr">
        <is>
          <t>남</t>
        </is>
      </c>
      <c r="H10" t="inlineStr">
        <is>
          <t>정수초등학교</t>
        </is>
      </c>
      <c r="I10" t="n">
        <v>5</v>
      </c>
      <c r="J10" t="inlineStr">
        <is>
          <t>010-2960-1050</t>
        </is>
      </c>
      <c r="K10" t="inlineStr">
        <is>
          <t>김지연</t>
        </is>
      </c>
      <c r="L10" t="inlineStr">
        <is>
          <t>010-2960-1050</t>
        </is>
      </c>
      <c r="M10" t="inlineStr">
        <is>
          <t>[39342  ] 경북 구미시 박정희로 76 (상모동, 상모한신휴플러스)103동 1504호</t>
        </is>
      </c>
      <c r="N10" t="inlineStr">
        <is>
          <t>보통이다</t>
        </is>
      </c>
      <c r="O10" t="inlineStr">
        <is>
          <t>보통이다</t>
        </is>
      </c>
      <c r="P10" t="inlineStr">
        <is>
          <t>보통이다</t>
        </is>
      </c>
      <c r="Q10" t="inlineStr">
        <is>
          <t>보통이다</t>
        </is>
      </c>
      <c r="R10" t="inlineStr">
        <is>
          <t>보통이다</t>
        </is>
      </c>
      <c r="S10" t="inlineStr">
        <is>
          <t>(일반)</t>
        </is>
      </c>
    </row>
    <row r="11">
      <c r="A11" t="n">
        <v>9</v>
      </c>
      <c r="B11" t="inlineStr">
        <is>
          <t>초등학교</t>
        </is>
      </c>
      <c r="C11" t="inlineStr">
        <is>
          <t>월수</t>
        </is>
      </c>
      <c r="D11" t="inlineStr">
        <is>
          <t>1 회</t>
        </is>
      </c>
      <c r="E11" t="inlineStr">
        <is>
          <t>배지윤</t>
        </is>
      </c>
      <c r="F11" t="inlineStr">
        <is>
          <t>Jiyoon123</t>
        </is>
      </c>
      <c r="G11" t="inlineStr">
        <is>
          <t>여</t>
        </is>
      </c>
      <c r="H11" t="inlineStr">
        <is>
          <t>정수초등학교</t>
        </is>
      </c>
      <c r="I11" t="n">
        <v>5</v>
      </c>
      <c r="J11" t="inlineStr">
        <is>
          <t>010-8456-6055</t>
        </is>
      </c>
      <c r="K11" t="inlineStr">
        <is>
          <t>박선정</t>
        </is>
      </c>
      <c r="L11" t="inlineStr">
        <is>
          <t>010-4640-6055</t>
        </is>
      </c>
      <c r="M11" t="inlineStr">
        <is>
          <t>[39342  ] 경북 구미시 박정희로 76 (상모동, 상모한신휴플러스)103동2402호</t>
        </is>
      </c>
      <c r="N11" t="inlineStr">
        <is>
          <t>보통이다</t>
        </is>
      </c>
      <c r="O11" t="inlineStr">
        <is>
          <t>그렇지 않다</t>
        </is>
      </c>
      <c r="P11" t="inlineStr">
        <is>
          <t>보통이다</t>
        </is>
      </c>
      <c r="Q11" t="inlineStr">
        <is>
          <t>그렇지 않다</t>
        </is>
      </c>
      <c r="R11" t="inlineStr">
        <is>
          <t>그렇지 않다</t>
        </is>
      </c>
      <c r="S11" t="inlineStr">
        <is>
          <t>(일반)</t>
        </is>
      </c>
    </row>
    <row r="12">
      <c r="A12" t="n">
        <v>10</v>
      </c>
      <c r="B12" t="inlineStr">
        <is>
          <t>초등학교</t>
        </is>
      </c>
      <c r="C12" t="inlineStr">
        <is>
          <t>화목</t>
        </is>
      </c>
      <c r="D12" t="inlineStr">
        <is>
          <t>1 회</t>
        </is>
      </c>
      <c r="E12" t="inlineStr">
        <is>
          <t>윤정민</t>
        </is>
      </c>
      <c r="F12" t="inlineStr">
        <is>
          <t>gmhi013</t>
        </is>
      </c>
      <c r="G12" t="inlineStr">
        <is>
          <t>남</t>
        </is>
      </c>
      <c r="H12" t="inlineStr">
        <is>
          <t>형일초등학교</t>
        </is>
      </c>
      <c r="I12" t="n">
        <v>4</v>
      </c>
      <c r="J12" t="inlineStr">
        <is>
          <t>010-3404-0450</t>
        </is>
      </c>
      <c r="K12" t="inlineStr">
        <is>
          <t>박정양</t>
        </is>
      </c>
      <c r="L12" t="inlineStr">
        <is>
          <t>010-3404-0450</t>
        </is>
      </c>
      <c r="M12" t="inlineStr">
        <is>
          <t>[39298  ] 경북 구미시 형곡로16길 11-12 (형곡동)주택</t>
        </is>
      </c>
      <c r="N12" t="inlineStr">
        <is>
          <t>전혀 그렇지 않다</t>
        </is>
      </c>
      <c r="O12" t="inlineStr">
        <is>
          <t>전혀 그렇지 않다</t>
        </is>
      </c>
      <c r="P12" t="inlineStr">
        <is>
          <t>전혀 그렇지 않다</t>
        </is>
      </c>
      <c r="Q12" t="inlineStr">
        <is>
          <t>전혀 그렇지 않다</t>
        </is>
      </c>
      <c r="R12" t="inlineStr">
        <is>
          <t>전혀 그렇지 않다</t>
        </is>
      </c>
      <c r="S12" t="inlineStr">
        <is>
          <t>(일반)</t>
        </is>
      </c>
    </row>
    <row r="13">
      <c r="A13" t="n">
        <v>11</v>
      </c>
      <c r="B13" t="inlineStr">
        <is>
          <t>초등학교</t>
        </is>
      </c>
      <c r="C13" t="inlineStr">
        <is>
          <t>화목</t>
        </is>
      </c>
      <c r="D13" t="inlineStr">
        <is>
          <t>2 회</t>
        </is>
      </c>
      <c r="E13" t="inlineStr">
        <is>
          <t>박도윤</t>
        </is>
      </c>
      <c r="F13" t="inlineStr">
        <is>
          <t>doyoonp225</t>
        </is>
      </c>
      <c r="G13" t="inlineStr">
        <is>
          <t>남</t>
        </is>
      </c>
      <c r="H13" t="inlineStr">
        <is>
          <t>정수초등학교</t>
        </is>
      </c>
      <c r="I13" t="n">
        <v>5</v>
      </c>
      <c r="J13" t="inlineStr">
        <is>
          <t>010-5606-9457</t>
        </is>
      </c>
      <c r="K13" t="inlineStr">
        <is>
          <t>정인혜</t>
        </is>
      </c>
      <c r="L13" t="inlineStr">
        <is>
          <t>010-5491-9639</t>
        </is>
      </c>
      <c r="M13" t="inlineStr">
        <is>
          <t>[39342  ] 경북 구미시 박정희로 76 (상모동, 상모한신휴플러스)102동1103호</t>
        </is>
      </c>
      <c r="N13" t="inlineStr">
        <is>
          <t>보통이다</t>
        </is>
      </c>
      <c r="O13" t="inlineStr">
        <is>
          <t>보통이다</t>
        </is>
      </c>
      <c r="P13" t="inlineStr">
        <is>
          <t>보통이다</t>
        </is>
      </c>
      <c r="Q13" t="inlineStr">
        <is>
          <t>보통이다</t>
        </is>
      </c>
      <c r="R13" t="inlineStr">
        <is>
          <t>보통이다</t>
        </is>
      </c>
      <c r="S13" t="inlineStr">
        <is>
          <t>(일반)</t>
        </is>
      </c>
    </row>
    <row r="14">
      <c r="A14" t="n">
        <v>12</v>
      </c>
      <c r="B14" t="inlineStr">
        <is>
          <t>초등학교</t>
        </is>
      </c>
      <c r="C14" t="inlineStr">
        <is>
          <t>화목</t>
        </is>
      </c>
      <c r="D14" t="inlineStr">
        <is>
          <t>1 회</t>
        </is>
      </c>
      <c r="E14" t="inlineStr">
        <is>
          <t>김민건</t>
        </is>
      </c>
      <c r="F14" t="inlineStr">
        <is>
          <t>guni0803</t>
        </is>
      </c>
      <c r="G14" t="inlineStr">
        <is>
          <t>남</t>
        </is>
      </c>
      <c r="H14" t="inlineStr">
        <is>
          <t>형일초등학교</t>
        </is>
      </c>
      <c r="I14" t="n">
        <v>4</v>
      </c>
      <c r="J14" t="inlineStr">
        <is>
          <t>010-4844-4282</t>
        </is>
      </c>
      <c r="K14" t="inlineStr">
        <is>
          <t>민현민</t>
        </is>
      </c>
      <c r="L14" t="inlineStr">
        <is>
          <t>010-4844-4282</t>
        </is>
      </c>
      <c r="M14" t="inlineStr">
        <is>
          <t>[39292  ] 경북 구미시 형곡로 88 (형곡동, 신화오페라하우스)301동1002호</t>
        </is>
      </c>
      <c r="N14" t="inlineStr">
        <is>
          <t>전혀 그렇지 않다</t>
        </is>
      </c>
      <c r="O14" t="inlineStr">
        <is>
          <t>그렇지 않다</t>
        </is>
      </c>
      <c r="P14" t="inlineStr">
        <is>
          <t>전혀 그렇지 않다</t>
        </is>
      </c>
      <c r="Q14" t="inlineStr">
        <is>
          <t>전혀 그렇지 않다</t>
        </is>
      </c>
      <c r="R14" t="inlineStr">
        <is>
          <t>전혀 그렇지 않다</t>
        </is>
      </c>
      <c r="S14" t="inlineStr">
        <is>
          <t>(일반)</t>
        </is>
      </c>
    </row>
    <row r="15">
      <c r="A15" t="n">
        <v>13</v>
      </c>
      <c r="B15" t="inlineStr">
        <is>
          <t>초등학교</t>
        </is>
      </c>
      <c r="C15" t="inlineStr">
        <is>
          <t>화목</t>
        </is>
      </c>
      <c r="D15" t="inlineStr">
        <is>
          <t>1 회</t>
        </is>
      </c>
      <c r="E15" t="inlineStr">
        <is>
          <t>홍지효</t>
        </is>
      </c>
      <c r="F15" t="inlineStr">
        <is>
          <t>stella22</t>
        </is>
      </c>
      <c r="G15" t="inlineStr">
        <is>
          <t>여</t>
        </is>
      </c>
      <c r="H15" t="inlineStr">
        <is>
          <t>정수초등학교</t>
        </is>
      </c>
      <c r="I15" t="n">
        <v>4</v>
      </c>
      <c r="J15" t="inlineStr">
        <is>
          <t>010-9981-1959</t>
        </is>
      </c>
      <c r="K15" t="inlineStr">
        <is>
          <t>김은영</t>
        </is>
      </c>
      <c r="L15" t="inlineStr">
        <is>
          <t>010-9981-1959</t>
        </is>
      </c>
      <c r="M15" t="inlineStr">
        <is>
          <t>[39342] 경북 구미시 박정희로 76 (상모동, 상모한신휴플러스)109동 2202호</t>
        </is>
      </c>
      <c r="N15" t="inlineStr">
        <is>
          <t>전혀 그렇지 않다</t>
        </is>
      </c>
      <c r="O15" t="inlineStr">
        <is>
          <t>그렇지 않다</t>
        </is>
      </c>
      <c r="P15" t="inlineStr">
        <is>
          <t>전혀 그렇지 않다</t>
        </is>
      </c>
      <c r="Q15" t="inlineStr">
        <is>
          <t>보통이다</t>
        </is>
      </c>
      <c r="R15" t="inlineStr">
        <is>
          <t>전혀 그렇지 않다</t>
        </is>
      </c>
      <c r="S15" t="inlineStr">
        <is>
          <t>(일반)</t>
        </is>
      </c>
    </row>
    <row r="16">
      <c r="A16" t="n">
        <v>14</v>
      </c>
      <c r="B16" t="inlineStr">
        <is>
          <t>초등학교</t>
        </is>
      </c>
      <c r="C16" t="inlineStr">
        <is>
          <t>화목</t>
        </is>
      </c>
      <c r="D16" t="inlineStr">
        <is>
          <t>1 회</t>
        </is>
      </c>
      <c r="E16" t="inlineStr">
        <is>
          <t>권태훈</t>
        </is>
      </c>
      <c r="F16" t="inlineStr">
        <is>
          <t>gwontaehun14</t>
        </is>
      </c>
      <c r="G16" t="inlineStr">
        <is>
          <t>남</t>
        </is>
      </c>
      <c r="H16" t="inlineStr">
        <is>
          <t>정수초등학교</t>
        </is>
      </c>
      <c r="I16" t="n">
        <v>6</v>
      </c>
      <c r="J16" t="inlineStr">
        <is>
          <t>010-7583-7731</t>
        </is>
      </c>
      <c r="K16" t="inlineStr">
        <is>
          <t>김효임</t>
        </is>
      </c>
      <c r="L16" t="inlineStr">
        <is>
          <t>010-5017-7732</t>
        </is>
      </c>
      <c r="M16" t="inlineStr">
        <is>
          <t>[39325  ] 경북 구미시 박정희로 236-8 (사곡동, 상모사곡화성파크드림)107동 1201호</t>
        </is>
      </c>
      <c r="N16" t="inlineStr">
        <is>
          <t>매우 그렇다</t>
        </is>
      </c>
      <c r="O16" t="inlineStr">
        <is>
          <t>그렇다</t>
        </is>
      </c>
      <c r="P16" t="inlineStr">
        <is>
          <t>그렇다</t>
        </is>
      </c>
      <c r="Q16" t="inlineStr">
        <is>
          <t>그렇다</t>
        </is>
      </c>
      <c r="R16" t="inlineStr">
        <is>
          <t>매우 그렇다</t>
        </is>
      </c>
      <c r="S16" t="inlineStr">
        <is>
          <t>(일반)</t>
        </is>
      </c>
    </row>
    <row r="17">
      <c r="A17" t="n">
        <v>15</v>
      </c>
      <c r="B17" t="inlineStr">
        <is>
          <t>초등학교</t>
        </is>
      </c>
      <c r="C17" t="inlineStr">
        <is>
          <t>화목</t>
        </is>
      </c>
      <c r="D17" t="inlineStr">
        <is>
          <t>1 회</t>
        </is>
      </c>
      <c r="E17" t="inlineStr">
        <is>
          <t>서지우</t>
        </is>
      </c>
      <c r="F17" t="inlineStr">
        <is>
          <t>sjw15</t>
        </is>
      </c>
      <c r="G17" t="inlineStr">
        <is>
          <t>남</t>
        </is>
      </c>
      <c r="H17" t="inlineStr">
        <is>
          <t>정수초등학교</t>
        </is>
      </c>
      <c r="I17" t="n">
        <v>5</v>
      </c>
      <c r="J17" t="inlineStr">
        <is>
          <t>010-2789-5868</t>
        </is>
      </c>
      <c r="K17" t="inlineStr">
        <is>
          <t>성수민</t>
        </is>
      </c>
      <c r="L17" t="inlineStr">
        <is>
          <t>010-2789-5868</t>
        </is>
      </c>
      <c r="M17" t="inlineStr">
        <is>
          <t>[39342  ] 경북 구미시 박정희로 76 (상모동, 상모한신휴플러스)102동 203호</t>
        </is>
      </c>
      <c r="N17" t="inlineStr">
        <is>
          <t>전혀 그렇지 않다</t>
        </is>
      </c>
      <c r="O17" t="inlineStr">
        <is>
          <t>전혀 그렇지 않다</t>
        </is>
      </c>
      <c r="P17" t="inlineStr">
        <is>
          <t>전혀 그렇지 않다</t>
        </is>
      </c>
      <c r="Q17" t="inlineStr">
        <is>
          <t>전혀 그렇지 않다</t>
        </is>
      </c>
      <c r="R17" t="inlineStr">
        <is>
          <t>전혀 그렇지 않다</t>
        </is>
      </c>
      <c r="S17" t="inlineStr">
        <is>
          <t>(일반)</t>
        </is>
      </c>
    </row>
    <row r="18">
      <c r="A18" t="n">
        <v>16</v>
      </c>
      <c r="B18" t="inlineStr">
        <is>
          <t>초등학교</t>
        </is>
      </c>
      <c r="C18" t="inlineStr">
        <is>
          <t>화목</t>
        </is>
      </c>
      <c r="D18" t="inlineStr">
        <is>
          <t>1 회</t>
        </is>
      </c>
      <c r="E18" t="inlineStr">
        <is>
          <t>김나은</t>
        </is>
      </c>
      <c r="F18" t="inlineStr">
        <is>
          <t>rena0220</t>
        </is>
      </c>
      <c r="G18" t="inlineStr">
        <is>
          <t>여</t>
        </is>
      </c>
      <c r="H18" t="inlineStr">
        <is>
          <t>형일초등학교</t>
        </is>
      </c>
      <c r="I18" t="n">
        <v>6</v>
      </c>
      <c r="J18" t="inlineStr">
        <is>
          <t>010-4187-1003</t>
        </is>
      </c>
      <c r="K18" t="inlineStr">
        <is>
          <t>주유진</t>
        </is>
      </c>
      <c r="L18" t="inlineStr">
        <is>
          <t>010-4187-1003</t>
        </is>
      </c>
      <c r="M18" t="inlineStr">
        <is>
          <t>[39293  ] 경북 구미시 형곡로 73 (형곡동, 우방3차아파트)301/1503</t>
        </is>
      </c>
      <c r="N18" t="inlineStr">
        <is>
          <t>전혀 그렇지 않다</t>
        </is>
      </c>
      <c r="O18" t="inlineStr">
        <is>
          <t>전혀 그렇지 않다</t>
        </is>
      </c>
      <c r="P18" t="inlineStr">
        <is>
          <t>전혀 그렇지 않다</t>
        </is>
      </c>
      <c r="Q18" t="inlineStr">
        <is>
          <t>전혀 그렇지 않다</t>
        </is>
      </c>
      <c r="R18" t="inlineStr">
        <is>
          <t>전혀 그렇지 않다</t>
        </is>
      </c>
      <c r="S18" t="inlineStr">
        <is>
          <t>(일반)</t>
        </is>
      </c>
    </row>
    <row r="19">
      <c r="A19" t="n">
        <v>17</v>
      </c>
      <c r="B19" t="inlineStr">
        <is>
          <t>초등학교</t>
        </is>
      </c>
      <c r="C19" t="inlineStr">
        <is>
          <t>월수</t>
        </is>
      </c>
      <c r="D19" t="inlineStr">
        <is>
          <t>1 회</t>
        </is>
      </c>
      <c r="E19" t="inlineStr">
        <is>
          <t>김수혁</t>
        </is>
      </c>
      <c r="F19" t="inlineStr">
        <is>
          <t>topoftop9880</t>
        </is>
      </c>
      <c r="G19" t="inlineStr">
        <is>
          <t>남</t>
        </is>
      </c>
      <c r="H19" t="inlineStr">
        <is>
          <t>형일초등학교</t>
        </is>
      </c>
      <c r="I19" t="n">
        <v>4</v>
      </c>
      <c r="J19" t="inlineStr">
        <is>
          <t>010-2623-1528</t>
        </is>
      </c>
      <c r="K19" t="inlineStr">
        <is>
          <t>황남조</t>
        </is>
      </c>
      <c r="L19" t="inlineStr">
        <is>
          <t>010-2623-1528</t>
        </is>
      </c>
      <c r="M19" t="inlineStr">
        <is>
          <t>[39292  ] 경북 구미시 형곡로14길 5-34 (형곡동, 정인펠리체)103동 203호</t>
        </is>
      </c>
      <c r="N19" t="inlineStr">
        <is>
          <t>전혀 그렇지 않다</t>
        </is>
      </c>
      <c r="O19" t="inlineStr">
        <is>
          <t>전혀 그렇지 않다</t>
        </is>
      </c>
      <c r="P19" t="inlineStr">
        <is>
          <t>전혀 그렇지 않다</t>
        </is>
      </c>
      <c r="Q19" t="inlineStr">
        <is>
          <t>전혀 그렇지 않다</t>
        </is>
      </c>
      <c r="R19" t="inlineStr">
        <is>
          <t>전혀 그렇지 않다</t>
        </is>
      </c>
      <c r="S19" t="inlineStr">
        <is>
          <t>(일반)</t>
        </is>
      </c>
    </row>
    <row r="20">
      <c r="A20" t="n">
        <v>18</v>
      </c>
      <c r="B20" t="inlineStr">
        <is>
          <t>초등학교</t>
        </is>
      </c>
      <c r="C20" t="inlineStr">
        <is>
          <t>화목</t>
        </is>
      </c>
      <c r="D20" t="inlineStr">
        <is>
          <t>2 회</t>
        </is>
      </c>
      <c r="E20" t="inlineStr">
        <is>
          <t>소희재</t>
        </is>
      </c>
      <c r="F20" t="inlineStr">
        <is>
          <t>shj0411</t>
        </is>
      </c>
      <c r="G20" t="inlineStr">
        <is>
          <t>남</t>
        </is>
      </c>
      <c r="H20" t="inlineStr">
        <is>
          <t>형일초등학교</t>
        </is>
      </c>
      <c r="I20" t="n">
        <v>6</v>
      </c>
      <c r="J20" t="inlineStr">
        <is>
          <t>010-9297-2135</t>
        </is>
      </c>
      <c r="K20" t="inlineStr">
        <is>
          <t>이진화</t>
        </is>
      </c>
      <c r="L20" t="inlineStr">
        <is>
          <t>010-9297-2135</t>
        </is>
      </c>
      <c r="M20" t="inlineStr">
        <is>
          <t>[39293  ] 경북 구미시 형곡로 73 (형곡동, 우방3차아파트)301동1401호</t>
        </is>
      </c>
      <c r="N20" t="inlineStr">
        <is>
          <t>그렇다</t>
        </is>
      </c>
      <c r="O20" t="inlineStr">
        <is>
          <t>보통이다</t>
        </is>
      </c>
      <c r="P20" t="inlineStr">
        <is>
          <t>보통이다</t>
        </is>
      </c>
      <c r="Q20" t="inlineStr">
        <is>
          <t>그렇지 않다</t>
        </is>
      </c>
      <c r="R20" t="inlineStr">
        <is>
          <t>보통이다</t>
        </is>
      </c>
      <c r="S20" t="inlineStr">
        <is>
          <t>(일반)</t>
        </is>
      </c>
    </row>
    <row r="21">
      <c r="A21" t="n">
        <v>19</v>
      </c>
      <c r="B21" t="inlineStr">
        <is>
          <t>초등학교</t>
        </is>
      </c>
      <c r="C21" t="inlineStr">
        <is>
          <t>월수</t>
        </is>
      </c>
      <c r="D21" t="inlineStr">
        <is>
          <t>1 회</t>
        </is>
      </c>
      <c r="E21" t="inlineStr">
        <is>
          <t>김승재</t>
        </is>
      </c>
      <c r="F21" t="inlineStr">
        <is>
          <t>ksjlove3</t>
        </is>
      </c>
      <c r="G21" t="inlineStr">
        <is>
          <t>남</t>
        </is>
      </c>
      <c r="H21" t="inlineStr">
        <is>
          <t>도량초등학교</t>
        </is>
      </c>
      <c r="I21" t="n">
        <v>5</v>
      </c>
      <c r="J21" t="inlineStr">
        <is>
          <t>010-5319-4355</t>
        </is>
      </c>
      <c r="K21" t="inlineStr">
        <is>
          <t>박나리</t>
        </is>
      </c>
      <c r="L21" t="inlineStr">
        <is>
          <t>010-5319-4355</t>
        </is>
      </c>
      <c r="M21" t="inlineStr">
        <is>
          <t>[39200  ] 경북 구미시 송동로 105 (도량동, 한빛타운)107동 1303호</t>
        </is>
      </c>
      <c r="N21" t="inlineStr">
        <is>
          <t>그렇다</t>
        </is>
      </c>
      <c r="O21" t="inlineStr">
        <is>
          <t>그렇다</t>
        </is>
      </c>
      <c r="P21" t="inlineStr">
        <is>
          <t>보통이다</t>
        </is>
      </c>
      <c r="Q21" t="inlineStr">
        <is>
          <t>보통이다</t>
        </is>
      </c>
      <c r="R21" t="inlineStr">
        <is>
          <t>전혀 그렇지 않다</t>
        </is>
      </c>
      <c r="S21" t="inlineStr">
        <is>
          <t>(일반)</t>
        </is>
      </c>
    </row>
    <row r="22">
      <c r="A22" t="n">
        <v>20</v>
      </c>
      <c r="B22" t="inlineStr">
        <is>
          <t>초등학교</t>
        </is>
      </c>
      <c r="C22" t="inlineStr">
        <is>
          <t>화목</t>
        </is>
      </c>
      <c r="D22" t="inlineStr">
        <is>
          <t>1 회</t>
        </is>
      </c>
      <c r="E22" t="inlineStr">
        <is>
          <t>최희찬</t>
        </is>
      </c>
      <c r="F22" t="inlineStr">
        <is>
          <t>h272</t>
        </is>
      </c>
      <c r="G22" t="inlineStr">
        <is>
          <t>남</t>
        </is>
      </c>
      <c r="H22" t="inlineStr">
        <is>
          <t>도량초등학교</t>
        </is>
      </c>
      <c r="I22" t="n">
        <v>5</v>
      </c>
      <c r="J22" t="inlineStr">
        <is>
          <t>010-5779-0985</t>
        </is>
      </c>
      <c r="K22" t="inlineStr">
        <is>
          <t>손인숙</t>
        </is>
      </c>
      <c r="L22" t="inlineStr">
        <is>
          <t>010-4066-5478</t>
        </is>
      </c>
      <c r="M22" t="inlineStr">
        <is>
          <t>[39196] 경북 구미시 송동로 128 (도량동, 4주공아파트)406-908</t>
        </is>
      </c>
      <c r="N22" t="inlineStr">
        <is>
          <t>보통이다</t>
        </is>
      </c>
      <c r="O22" t="inlineStr">
        <is>
          <t>그렇지 않다</t>
        </is>
      </c>
      <c r="P22" t="inlineStr">
        <is>
          <t>그렇지 않다</t>
        </is>
      </c>
      <c r="Q22" t="inlineStr">
        <is>
          <t>그렇지 않다</t>
        </is>
      </c>
      <c r="R22" t="inlineStr">
        <is>
          <t>그렇지 않다</t>
        </is>
      </c>
      <c r="S22" t="inlineStr">
        <is>
          <t>(일반)</t>
        </is>
      </c>
    </row>
    <row r="23">
      <c r="A23" t="n">
        <v>21</v>
      </c>
      <c r="B23" t="inlineStr">
        <is>
          <t>초등학교</t>
        </is>
      </c>
      <c r="C23" t="inlineStr">
        <is>
          <t>월수</t>
        </is>
      </c>
      <c r="D23" t="inlineStr">
        <is>
          <t>1 회</t>
        </is>
      </c>
      <c r="E23" t="inlineStr">
        <is>
          <t>이지아</t>
        </is>
      </c>
      <c r="F23" t="inlineStr">
        <is>
          <t>2jia1004</t>
        </is>
      </c>
      <c r="G23" t="inlineStr">
        <is>
          <t>여</t>
        </is>
      </c>
      <c r="H23" t="inlineStr">
        <is>
          <t>정수초등학교</t>
        </is>
      </c>
      <c r="I23" t="n">
        <v>4</v>
      </c>
      <c r="J23" t="inlineStr">
        <is>
          <t>010-2039-1428</t>
        </is>
      </c>
      <c r="K23" t="inlineStr">
        <is>
          <t>최지연</t>
        </is>
      </c>
      <c r="L23" t="inlineStr">
        <is>
          <t>010-2039-1428</t>
        </is>
      </c>
      <c r="M23" t="inlineStr">
        <is>
          <t>[39342] 경북 구미시 박정희로 76 (상모동, 상모한신휴플러스)39342 102동 2604호</t>
        </is>
      </c>
      <c r="N23" t="inlineStr">
        <is>
          <t>전혀 그렇지 않다</t>
        </is>
      </c>
      <c r="O23" t="inlineStr">
        <is>
          <t>그렇지 않다</t>
        </is>
      </c>
      <c r="P23" t="inlineStr">
        <is>
          <t>그렇지 않다</t>
        </is>
      </c>
      <c r="Q23" t="inlineStr">
        <is>
          <t>그렇지 않다</t>
        </is>
      </c>
      <c r="R23" t="inlineStr">
        <is>
          <t>전혀 그렇지 않다</t>
        </is>
      </c>
      <c r="S23" t="inlineStr">
        <is>
          <t>(일반)</t>
        </is>
      </c>
    </row>
    <row r="24">
      <c r="A24" t="n">
        <v>22</v>
      </c>
      <c r="B24" t="inlineStr">
        <is>
          <t>초등학교</t>
        </is>
      </c>
      <c r="C24" t="inlineStr">
        <is>
          <t>월수</t>
        </is>
      </c>
      <c r="D24" t="inlineStr">
        <is>
          <t>1 회</t>
        </is>
      </c>
      <c r="E24" t="inlineStr">
        <is>
          <t>황채훈</t>
        </is>
      </c>
      <c r="F24" t="inlineStr">
        <is>
          <t>hch0429</t>
        </is>
      </c>
      <c r="G24" t="inlineStr">
        <is>
          <t>남</t>
        </is>
      </c>
      <c r="H24" t="inlineStr">
        <is>
          <t>정수초등학교</t>
        </is>
      </c>
      <c r="I24" t="n">
        <v>4</v>
      </c>
      <c r="J24" t="inlineStr">
        <is>
          <t>010-6438-0718</t>
        </is>
      </c>
      <c r="K24" t="inlineStr">
        <is>
          <t>김선희</t>
        </is>
      </c>
      <c r="L24" t="inlineStr">
        <is>
          <t>010-6438-0718</t>
        </is>
      </c>
      <c r="M24" t="inlineStr">
        <is>
          <t>[39340  ] 경북 구미시 상모로2길 11-8 (상모동)스칼렛 201호</t>
        </is>
      </c>
      <c r="N24" t="inlineStr">
        <is>
          <t>전혀 그렇지 않다</t>
        </is>
      </c>
      <c r="O24" t="inlineStr">
        <is>
          <t>보통이다</t>
        </is>
      </c>
      <c r="P24" t="inlineStr">
        <is>
          <t>전혀 그렇지 않다</t>
        </is>
      </c>
      <c r="Q24" t="inlineStr">
        <is>
          <t>전혀 그렇지 않다</t>
        </is>
      </c>
      <c r="R24" t="inlineStr">
        <is>
          <t>전혀 그렇지 않다</t>
        </is>
      </c>
      <c r="S24" t="inlineStr">
        <is>
          <t>(일반)</t>
        </is>
      </c>
    </row>
    <row r="25">
      <c r="A25" t="n">
        <v>23</v>
      </c>
      <c r="B25" t="inlineStr">
        <is>
          <t>초등학교</t>
        </is>
      </c>
      <c r="C25" t="inlineStr">
        <is>
          <t>화목</t>
        </is>
      </c>
      <c r="D25" t="inlineStr">
        <is>
          <t>1 회</t>
        </is>
      </c>
      <c r="E25" t="inlineStr">
        <is>
          <t>최헌성</t>
        </is>
      </c>
      <c r="F25" t="inlineStr">
        <is>
          <t>cdhchs</t>
        </is>
      </c>
      <c r="G25" t="inlineStr">
        <is>
          <t>남</t>
        </is>
      </c>
      <c r="H25" t="inlineStr">
        <is>
          <t>정수초등학교</t>
        </is>
      </c>
      <c r="I25" t="n">
        <v>5</v>
      </c>
      <c r="J25" t="inlineStr">
        <is>
          <t>010-4597-0641</t>
        </is>
      </c>
      <c r="K25" t="inlineStr">
        <is>
          <t>백경싄</t>
        </is>
      </c>
      <c r="L25" t="inlineStr">
        <is>
          <t>010-4597-0641</t>
        </is>
      </c>
      <c r="M25" t="inlineStr">
        <is>
          <t>[39342  ] 경북 구미시 박정희로 76-1 (상모동, 상모한신휴플러스)104동1902호</t>
        </is>
      </c>
      <c r="N25" t="inlineStr">
        <is>
          <t>전혀 그렇지 않다</t>
        </is>
      </c>
      <c r="O25" t="inlineStr">
        <is>
          <t>전혀 그렇지 않다</t>
        </is>
      </c>
      <c r="P25" t="inlineStr">
        <is>
          <t>전혀 그렇지 않다</t>
        </is>
      </c>
      <c r="Q25" t="inlineStr">
        <is>
          <t>전혀 그렇지 않다</t>
        </is>
      </c>
      <c r="R25" t="inlineStr">
        <is>
          <t>전혀 그렇지 않다</t>
        </is>
      </c>
      <c r="S25" t="inlineStr">
        <is>
          <t>(일반)</t>
        </is>
      </c>
    </row>
    <row r="26">
      <c r="A26" t="n">
        <v>24</v>
      </c>
      <c r="B26" t="inlineStr">
        <is>
          <t>초등학교</t>
        </is>
      </c>
      <c r="C26" t="inlineStr">
        <is>
          <t>월수</t>
        </is>
      </c>
      <c r="D26" t="inlineStr">
        <is>
          <t>1 회</t>
        </is>
      </c>
      <c r="E26" t="inlineStr">
        <is>
          <t>장예준</t>
        </is>
      </c>
      <c r="F26" t="inlineStr">
        <is>
          <t>albert1</t>
        </is>
      </c>
      <c r="G26" t="inlineStr">
        <is>
          <t>남</t>
        </is>
      </c>
      <c r="H26" t="inlineStr">
        <is>
          <t>정수초등학교</t>
        </is>
      </c>
      <c r="I26" t="n">
        <v>4</v>
      </c>
      <c r="J26" t="inlineStr">
        <is>
          <t>010-8815-3553</t>
        </is>
      </c>
      <c r="K26" t="inlineStr">
        <is>
          <t>유지희</t>
        </is>
      </c>
      <c r="L26" t="inlineStr">
        <is>
          <t>010-8815-3553</t>
        </is>
      </c>
      <c r="M26" t="inlineStr">
        <is>
          <t>[39342  ] 경북 구미시 박정희로 76 (상모동, 상모한신휴플러스)103동 2104호</t>
        </is>
      </c>
      <c r="N26" t="inlineStr">
        <is>
          <t>그렇지 않다</t>
        </is>
      </c>
      <c r="O26" t="inlineStr">
        <is>
          <t>그렇지 않다</t>
        </is>
      </c>
      <c r="P26" t="inlineStr">
        <is>
          <t>그렇지 않다</t>
        </is>
      </c>
      <c r="Q26" t="inlineStr">
        <is>
          <t>그렇지 않다</t>
        </is>
      </c>
      <c r="R26" t="inlineStr">
        <is>
          <t>그렇지 않다</t>
        </is>
      </c>
      <c r="S26" t="inlineStr">
        <is>
          <t>(일반)</t>
        </is>
      </c>
    </row>
    <row r="27">
      <c r="A27" t="n">
        <v>25</v>
      </c>
      <c r="B27" t="inlineStr">
        <is>
          <t>초등학교</t>
        </is>
      </c>
      <c r="C27" t="inlineStr">
        <is>
          <t>화목</t>
        </is>
      </c>
      <c r="D27" t="inlineStr">
        <is>
          <t>1 회</t>
        </is>
      </c>
      <c r="E27" t="inlineStr">
        <is>
          <t>김민율</t>
        </is>
      </c>
      <c r="F27" t="inlineStr">
        <is>
          <t>hello8183</t>
        </is>
      </c>
      <c r="G27" t="inlineStr">
        <is>
          <t>남</t>
        </is>
      </c>
      <c r="H27" t="inlineStr">
        <is>
          <t>정수초등학교</t>
        </is>
      </c>
      <c r="I27" t="n">
        <v>4</v>
      </c>
      <c r="J27" t="inlineStr">
        <is>
          <t>010-5098-7002</t>
        </is>
      </c>
      <c r="K27" t="inlineStr">
        <is>
          <t>김명준</t>
        </is>
      </c>
      <c r="L27" t="inlineStr">
        <is>
          <t>010-5098-7002</t>
        </is>
      </c>
      <c r="M27" t="inlineStr">
        <is>
          <t>[39342  ] 경북 구미시 박정희로 76 (상모동, 상모한신휴플러스)110동 2001호</t>
        </is>
      </c>
      <c r="N27" t="inlineStr">
        <is>
          <t>전혀 그렇지 않다</t>
        </is>
      </c>
      <c r="O27" t="inlineStr">
        <is>
          <t>전혀 그렇지 않다</t>
        </is>
      </c>
      <c r="P27" t="inlineStr">
        <is>
          <t>전혀 그렇지 않다</t>
        </is>
      </c>
      <c r="Q27" t="inlineStr">
        <is>
          <t>전혀 그렇지 않다</t>
        </is>
      </c>
      <c r="R27" t="inlineStr">
        <is>
          <t>전혀 그렇지 않다</t>
        </is>
      </c>
      <c r="S27" t="inlineStr">
        <is>
          <t>(일반)</t>
        </is>
      </c>
    </row>
    <row r="28">
      <c r="A28" t="n">
        <v>26</v>
      </c>
      <c r="B28" t="inlineStr">
        <is>
          <t>초등학교</t>
        </is>
      </c>
      <c r="C28" t="inlineStr">
        <is>
          <t>월수</t>
        </is>
      </c>
      <c r="D28" t="inlineStr">
        <is>
          <t>1 회</t>
        </is>
      </c>
      <c r="E28" t="inlineStr">
        <is>
          <t>테스트</t>
        </is>
      </c>
      <c r="F28" t="inlineStr">
        <is>
          <t>gumi2</t>
        </is>
      </c>
      <c r="G28" t="inlineStr">
        <is>
          <t>남</t>
        </is>
      </c>
      <c r="H28" t="inlineStr">
        <is>
          <t>금오초등학교</t>
        </is>
      </c>
      <c r="I28" t="n">
        <v>4</v>
      </c>
      <c r="J28" t="inlineStr">
        <is>
          <t>010-3322-2093</t>
        </is>
      </c>
      <c r="K28" t="inlineStr">
        <is>
          <t>구경연</t>
        </is>
      </c>
      <c r="L28" t="inlineStr">
        <is>
          <t>010-3322-2093</t>
        </is>
      </c>
      <c r="M28" t="inlineStr">
        <is>
          <t>[39305  ] 경북 구미시 산책길 19 (원평동, 금오초등학교)1</t>
        </is>
      </c>
      <c r="N28" t="inlineStr">
        <is>
          <t>매우 그렇다</t>
        </is>
      </c>
      <c r="O28" t="inlineStr">
        <is>
          <t>매우 그렇다</t>
        </is>
      </c>
      <c r="P28" t="inlineStr">
        <is>
          <t>매우 그렇다</t>
        </is>
      </c>
      <c r="Q28" t="inlineStr">
        <is>
          <t>매우 그렇다</t>
        </is>
      </c>
      <c r="R28" t="inlineStr">
        <is>
          <t>매우 그렇다</t>
        </is>
      </c>
      <c r="S28" t="inlineStr">
        <is>
          <t>(일반)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2025-06-02T00:29:17Z</dcterms:created>
  <dcterms:modified xmlns:dcterms="http://purl.org/dc/terms/" xmlns:xsi="http://www.w3.org/2001/XMLSchema-instance" xsi:type="dcterms:W3CDTF">2026-04-21T01:00:48Z</dcterms:modified>
  <cp:lastModifiedBy>AEIG1012</cp:lastModifiedBy>
</cp:coreProperties>
</file>